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d8c4e894a36a6c/Documents/"/>
    </mc:Choice>
  </mc:AlternateContent>
  <xr:revisionPtr revIDLastSave="4" documentId="14_{48A3898A-AC53-4AB9-9FD0-5F35443A6AE6}" xr6:coauthVersionLast="47" xr6:coauthVersionMax="47" xr10:uidLastSave="{6CA8FBA3-259E-4435-AFD1-1133E28A05A0}"/>
  <bookViews>
    <workbookView xWindow="-108" yWindow="-108" windowWidth="23256" windowHeight="12456" xr2:uid="{E091F3B0-4661-47CA-846A-0DF84D6E0B7A}"/>
  </bookViews>
  <sheets>
    <sheet name="Flipkart Smartphone Analysis (1" sheetId="1" r:id="rId1"/>
  </sheets>
  <definedNames>
    <definedName name="_xlnm._FilterDatabase" localSheetId="0" hidden="1">'Flipkart Smartphone Analysis (1'!$A$1:$N$449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17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AEA2ED-CA6B-4483-9057-B4549EE9912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<sst xmlns="http://schemas.openxmlformats.org/spreadsheetml/2006/main" count="2164" uniqueCount="694">
  <si>
    <t>Brand</t>
  </si>
  <si>
    <t>Model</t>
  </si>
  <si>
    <t>RAM</t>
  </si>
  <si>
    <t>Storage</t>
  </si>
  <si>
    <t>Battery</t>
  </si>
  <si>
    <t>price</t>
  </si>
  <si>
    <t>MRP</t>
  </si>
  <si>
    <t>Discount</t>
  </si>
  <si>
    <t>Rating</t>
  </si>
  <si>
    <t>Reviews</t>
  </si>
  <si>
    <t>Price_Catogery</t>
  </si>
  <si>
    <t>Popularity_score</t>
  </si>
  <si>
    <t>Price/GB RAM</t>
  </si>
  <si>
    <t>Product Name</t>
  </si>
  <si>
    <t>Samsung</t>
  </si>
  <si>
    <t>Galaxy A16 5G</t>
  </si>
  <si>
    <t>Midrange</t>
  </si>
  <si>
    <t>Samsung Galaxy A16 5G (Light Green, 128 GB)</t>
  </si>
  <si>
    <t>vivo</t>
  </si>
  <si>
    <t>X200T</t>
  </si>
  <si>
    <t>Premium</t>
  </si>
  <si>
    <t>vivo X200T (Seaside Lilac, 512 GB)</t>
  </si>
  <si>
    <t>Apple</t>
  </si>
  <si>
    <t>iPhone 13 mini</t>
  </si>
  <si>
    <t>Not specified</t>
  </si>
  <si>
    <t>Unknown</t>
  </si>
  <si>
    <t>Actual</t>
  </si>
  <si>
    <t>No discount</t>
  </si>
  <si>
    <t>Apple iPhone 13 mini (Starlight, 512 GB)</t>
  </si>
  <si>
    <t>REDMI</t>
  </si>
  <si>
    <t>Note-14 Pro 5G</t>
  </si>
  <si>
    <t>REDMI Note-14 Pro 5G (Phantom Purple, 256 GB)</t>
  </si>
  <si>
    <t>T4 Ultra 5G</t>
  </si>
  <si>
    <t>vivo T4 Ultra 5G (Meteor Grey, 256 GB)</t>
  </si>
  <si>
    <t>Budget</t>
  </si>
  <si>
    <t>Samsung Galaxy A16 5G (Blue Black, 128 GB)</t>
  </si>
  <si>
    <t>Galaxy S24 Ultra 5G</t>
  </si>
  <si>
    <t>Samsung Galaxy S24 Ultra 5G (Titanium Gray, 256 GB)</t>
  </si>
  <si>
    <t>realme</t>
  </si>
  <si>
    <t>Narzo 90x 5G</t>
  </si>
  <si>
    <t>realme Narzo 90x 5G (Flash Blue, 128 GB)</t>
  </si>
  <si>
    <t>vivo X200T (Stellar Black, 256 GB)</t>
  </si>
  <si>
    <t>P3 Ultra 5G</t>
  </si>
  <si>
    <t>realme P3 Ultra 5G (Glowing Lunar White, 256 GB)</t>
  </si>
  <si>
    <t>OPPO</t>
  </si>
  <si>
    <t>Reno15c 5G</t>
  </si>
  <si>
    <t>OPPO Reno15c 5G (Twilight Blue, 256 GB)</t>
  </si>
  <si>
    <t>14x 5G</t>
  </si>
  <si>
    <t>realme 14x 5G (Jewel Red, 128 GB)</t>
  </si>
  <si>
    <t>vivo T4 Ultra 5G (Meteor Grey, 512 GB)</t>
  </si>
  <si>
    <t>NARZO 80 Pro 5G</t>
  </si>
  <si>
    <t>realme NARZO 80 Pro 5G (Racing Green, 128 GB)</t>
  </si>
  <si>
    <t>16 Pro 5G</t>
  </si>
  <si>
    <t>realme 16 Pro 5G (Pebble Grey, 256 GB)</t>
  </si>
  <si>
    <t>Galaxy M56 5G</t>
  </si>
  <si>
    <t>Samsung Galaxy M56 5G (Light Green, 256 GB)</t>
  </si>
  <si>
    <t>Galaxy S24 5G Snapdragon</t>
  </si>
  <si>
    <t>Samsung Galaxy S24 5G Snapdragon (Onyx Black, 128 GB)</t>
  </si>
  <si>
    <t>iPhone 16</t>
  </si>
  <si>
    <t>Apple iPhone 16 (Ultramarine, 256 GB)</t>
  </si>
  <si>
    <t>vivo T4 Ultra 5G (Phoenix Gold, 256 GB)</t>
  </si>
  <si>
    <t>Galaxy Z Flip6 5G</t>
  </si>
  <si>
    <t>Samsung Galaxy Z Flip6 5G (Blue, 256 GB)</t>
  </si>
  <si>
    <t>V70 Elite</t>
  </si>
  <si>
    <t>vivo V70 Elite (Passion Red, 256 GB)</t>
  </si>
  <si>
    <t>Reno15 Pro Mini 5G</t>
  </si>
  <si>
    <t>OPPO Reno15 Pro Mini 5G (Cocoa Brown, 512 GB)</t>
  </si>
  <si>
    <t>OPPO Reno15 Pro Mini 5G (Glacier White, 256 GB)</t>
  </si>
  <si>
    <t>P1 5G</t>
  </si>
  <si>
    <t>realme P1 5G (Feather Blue, 128 GB)</t>
  </si>
  <si>
    <t>Narzo 80 Pro 5G</t>
  </si>
  <si>
    <t>realme Narzo 80 Pro 5G (Racing Green, 256 GB)</t>
  </si>
  <si>
    <t>GT 6</t>
  </si>
  <si>
    <t>realme GT 6 (Razor Green, 256 GB)</t>
  </si>
  <si>
    <t>realme P1 5G (Peacock Green, 128 GB)</t>
  </si>
  <si>
    <t>realme P1 5G (Phoenix Red, 256 GB)</t>
  </si>
  <si>
    <t>Galaxy F16 5G</t>
  </si>
  <si>
    <t>Samsung Galaxy F16 5G (Bling Black, 128 GB)</t>
  </si>
  <si>
    <t>Y22</t>
  </si>
  <si>
    <t>vivo Y22 (Starlit Blue, 128 GB)</t>
  </si>
  <si>
    <t>iPhone 7</t>
  </si>
  <si>
    <t>Apple iPhone 7 (Silver, 128 GB)</t>
  </si>
  <si>
    <t>Find X9</t>
  </si>
  <si>
    <t>OPPO Find X9 (Titanium Grey, 256 GB)</t>
  </si>
  <si>
    <t>Galaxy A07 5G</t>
  </si>
  <si>
    <t>Samsung Galaxy A07 5G (Black, 128 GB)</t>
  </si>
  <si>
    <t>M02s</t>
  </si>
  <si>
    <t>Samsung M02s (Blue, 32 GB)</t>
  </si>
  <si>
    <t>12x 5G</t>
  </si>
  <si>
    <t>realme 12x 5G (Woodland Green, 128 GB)</t>
  </si>
  <si>
    <t>Galaxy S25 Ultra 5G</t>
  </si>
  <si>
    <t>Samsung Galaxy S25 Ultra 5G (Titanium Whitesilver, 512 GB)</t>
  </si>
  <si>
    <t>realme 12x 5G (Twilight Purple, 128 GB)</t>
  </si>
  <si>
    <t>iPhone 11 Pro</t>
  </si>
  <si>
    <t>Apple iPhone 11 Pro (Space Grey, 256 GB)</t>
  </si>
  <si>
    <t>Note 15 Pro 5G</t>
  </si>
  <si>
    <t>REDMI Note 15 Pro 5G (Carbon Black, 256 GB)</t>
  </si>
  <si>
    <t>Galaxy A51</t>
  </si>
  <si>
    <t>Samsung Galaxy A51 (Prism Crush Black, 128 GB)</t>
  </si>
  <si>
    <t>Galaxy A06 5G</t>
  </si>
  <si>
    <t>Samsung Galaxy A06 5G (Light Gray, 128 GB)</t>
  </si>
  <si>
    <t>T4 5G</t>
  </si>
  <si>
    <t>vivo T4 5G (Emerald Blaze, 256 GB)</t>
  </si>
  <si>
    <t>Galaxy F70e 5G</t>
  </si>
  <si>
    <t>Samsung Galaxy F70e 5G (Spotlight Blue, 128 GB)</t>
  </si>
  <si>
    <t>15 5G</t>
  </si>
  <si>
    <t>REDMI 15 5G (Midnight Black, 128 GB)</t>
  </si>
  <si>
    <t>14 Pro+ 5G</t>
  </si>
  <si>
    <t>realme 14 Pro+ 5G (Pearl White, 256 GB)</t>
  </si>
  <si>
    <t>Galaxy A17 5G</t>
  </si>
  <si>
    <t>Samsung Galaxy A17 5G (Black, 256 GB)</t>
  </si>
  <si>
    <t>Samsung Galaxy A17 5G (Gray, 128 GB)</t>
  </si>
  <si>
    <t>P4x 5G</t>
  </si>
  <si>
    <t>realme P4x 5G (Matte Silver, 256 GB)</t>
  </si>
  <si>
    <t>P4 5G</t>
  </si>
  <si>
    <t>realme P4 5G (Engine Blue, 128 GB)</t>
  </si>
  <si>
    <t>Samsung Galaxy F16 5G (Vibing Blue, 128 GB)</t>
  </si>
  <si>
    <t>realme P4 5G (Forge Red, 128 GB)</t>
  </si>
  <si>
    <t>Galaxy Z Fold7 5G</t>
  </si>
  <si>
    <t>Samsung Galaxy Z Fold7 5G (Blue Shadow, 256 GB)</t>
  </si>
  <si>
    <t>iPhone 17 Pro</t>
  </si>
  <si>
    <t>Apple iPhone 17 Pro (Silver, 512 GB)</t>
  </si>
  <si>
    <t>A6 x 4G</t>
  </si>
  <si>
    <t>OPPO A6 x 4G (Olive Green, 64 GB)</t>
  </si>
  <si>
    <t>Samsung Galaxy A17 5G (Black, 128 GB)</t>
  </si>
  <si>
    <t>REDMI 15 5G (Sandy Purple, 128 GB)</t>
  </si>
  <si>
    <t>realme Narzo 90x 5G (Maroon Red, 128 GB)</t>
  </si>
  <si>
    <t>Galaxy A07 LTE</t>
  </si>
  <si>
    <t>Samsung Galaxy A07 LTE (Light Violet, 64 GB)</t>
  </si>
  <si>
    <t>15C 5G</t>
  </si>
  <si>
    <t>REDMI 15C 5G (Moonlight Blue, 128 GB)</t>
  </si>
  <si>
    <t>V60 5G</t>
  </si>
  <si>
    <t>vivo V60 5G (Mist Gray, 256 GB)</t>
  </si>
  <si>
    <t>K13 5G SUPERVOOC</t>
  </si>
  <si>
    <t>OPPO K13 5G SUPERVOOC (Black, 128 GB)</t>
  </si>
  <si>
    <t>Galaxy A26 5G</t>
  </si>
  <si>
    <t>Samsung Galaxy A26 5G (Awesome Mint, 256 GB)</t>
  </si>
  <si>
    <t>C61</t>
  </si>
  <si>
    <t>realme C61 (Safari Green, 128 GB)</t>
  </si>
  <si>
    <t>Galaxy A36 5G</t>
  </si>
  <si>
    <t>Samsung Galaxy A36 5G (Awesome White, 128 GB)</t>
  </si>
  <si>
    <t>Reno15 5G</t>
  </si>
  <si>
    <t>OPPO Reno15 5G (Twilight Blue, 512 GB)</t>
  </si>
  <si>
    <t>OPPO Reno15 5G (Aurora Blue, 256 GB)</t>
  </si>
  <si>
    <t>Galaxy Z Flip4 5G</t>
  </si>
  <si>
    <t>Samsung Galaxy Z Flip4 5G (Bora Purple, 128 GB)</t>
  </si>
  <si>
    <t>Reno14 5G</t>
  </si>
  <si>
    <t>OPPO Reno14 5G (Forest Green, 256 GB)</t>
  </si>
  <si>
    <t>iPhone 16 Pro Max</t>
  </si>
  <si>
    <t>Apple iPhone 16 Pro Max (Natural Titanium, 256 GB)</t>
  </si>
  <si>
    <t>13C</t>
  </si>
  <si>
    <t>REDMI 13C (Stardust Black, 256 GB)</t>
  </si>
  <si>
    <t>P3 5G</t>
  </si>
  <si>
    <t>realme P3 5G (Nebula Pink, 128 GB)</t>
  </si>
  <si>
    <t>8i</t>
  </si>
  <si>
    <t>realme 8i (Space Black, 64 GB)</t>
  </si>
  <si>
    <t>A59 5G</t>
  </si>
  <si>
    <t>OPPO A59 5G (Starry Black, 128 GB)</t>
  </si>
  <si>
    <t>M36 5G</t>
  </si>
  <si>
    <t>Samsung M36 5G (Orange Haze / Orange, 128 GB)</t>
  </si>
  <si>
    <t>Note 10 Pro</t>
  </si>
  <si>
    <t>REDMI Note 10 Pro (Vintage Bronze, 128 GB)</t>
  </si>
  <si>
    <t>M56 5G</t>
  </si>
  <si>
    <t>Samsung M56 5G (Black, 256 GB)</t>
  </si>
  <si>
    <t>Samsung M36 5G (Black, 256 GB)</t>
  </si>
  <si>
    <t>Gt 7</t>
  </si>
  <si>
    <t>realme Gt 7 (Icesense Black, 512 GB)</t>
  </si>
  <si>
    <t>iPhone 16 Plus</t>
  </si>
  <si>
    <t>Apple iPhone 16 Plus (Pink, 256 GB)</t>
  </si>
  <si>
    <t>V60e</t>
  </si>
  <si>
    <t>vivo V60e (Noble Gold, 256 GB)</t>
  </si>
  <si>
    <t>16 Pro+ 5G</t>
  </si>
  <si>
    <t>realme 16 Pro+ 5G (Camellia Pink, 256 GB)</t>
  </si>
  <si>
    <t>vivo V60e (Noble Gold, 128 GB)</t>
  </si>
  <si>
    <t>vivo V60 5G (Mist Gray, 512 GB)</t>
  </si>
  <si>
    <t>Note-14 Pro+ 5G</t>
  </si>
  <si>
    <t>REDMI Note-14 Pro+ 5G (Titan Black, 128 GB)</t>
  </si>
  <si>
    <t>14C 5G</t>
  </si>
  <si>
    <t>REDMI 14C 5G (Stardust Purple, 128 GB)</t>
  </si>
  <si>
    <t>vivo V60 5G (Moonlit Blue, 256 GB)</t>
  </si>
  <si>
    <t>Note 15 5G</t>
  </si>
  <si>
    <t>REDMI Note 15 5G (Black, 256 GB)</t>
  </si>
  <si>
    <t>REDMI 14C 5G (Stardust Purple, 64 GB)</t>
  </si>
  <si>
    <t>OPPO Reno15 5G (Twilight Blue, 256 GB)</t>
  </si>
  <si>
    <t>A78 5G</t>
  </si>
  <si>
    <t>OPPO A78 5G (Glowing Blue, 128 GB)</t>
  </si>
  <si>
    <t>A2</t>
  </si>
  <si>
    <t>REDMI A2 (Sea Green, 64 GB)</t>
  </si>
  <si>
    <t>OPPO Reno15c 5G (Afterglow Pink, 256 GB)</t>
  </si>
  <si>
    <t>Reno14 Pro 5G</t>
  </si>
  <si>
    <t>OPPO Reno14 Pro 5G (Titanium Grey, 256 GB)</t>
  </si>
  <si>
    <t>Galaxy A32</t>
  </si>
  <si>
    <t>Samsung Galaxy A32 (Awesome Blue, 128 GB)</t>
  </si>
  <si>
    <t>Galaxy A14 5G</t>
  </si>
  <si>
    <t>Samsung Galaxy A14 5G (Dark Red, 128 GB)</t>
  </si>
  <si>
    <t>X300</t>
  </si>
  <si>
    <t>vivo X300 (Mist Blue, 512 GB)</t>
  </si>
  <si>
    <t>vivo X300 (Mist Blue, 256 GB)</t>
  </si>
  <si>
    <t>F 29 Pro 5G</t>
  </si>
  <si>
    <t>OPPO F 29 Pro 5G (Granite Black, 128 GB)</t>
  </si>
  <si>
    <t>REDMI Note-14 Pro+ 5G (Spectre Blue, 256 GB)</t>
  </si>
  <si>
    <t>Samsung M36 5G (Serene Green / Light Green, 128 GB)</t>
  </si>
  <si>
    <t>realme 16 Pro+ 5G (Master Grey, 256 GB)</t>
  </si>
  <si>
    <t>13C 5G</t>
  </si>
  <si>
    <t>REDMI 13C 5G (Startrail Green, 128 GB)</t>
  </si>
  <si>
    <t>iPhone 14 Plus</t>
  </si>
  <si>
    <t>Apple iPhone 14 Plus ((PRODUCT)RED, 512 GB)</t>
  </si>
  <si>
    <t>Y19s 5G</t>
  </si>
  <si>
    <t>vivo Y19s 5G (Titanium Silver, 64.0 GB)</t>
  </si>
  <si>
    <t>P4 Pro 5G</t>
  </si>
  <si>
    <t>realme P4 Pro 5G (Birch Wood, 128 GB)</t>
  </si>
  <si>
    <t>Apple iPhone 14 Plus (Midnight, 256 GB)</t>
  </si>
  <si>
    <t>F17 Pro</t>
  </si>
  <si>
    <t>OPPO F17 Pro (Metallic White, 128 GB)</t>
  </si>
  <si>
    <t>Samsung Galaxy A06 5G (Light Green, 64 GB)</t>
  </si>
  <si>
    <t>realme P4x 5G (Matte Silver, 128 GB)</t>
  </si>
  <si>
    <t>T4R 5G</t>
  </si>
  <si>
    <t>vivo T4R 5G (Twilight Blue, 128 GB)</t>
  </si>
  <si>
    <t>realme P4x 5G (Elegant Pink, 128 GB)</t>
  </si>
  <si>
    <t>A5</t>
  </si>
  <si>
    <t>REDMI A5 (Jaisalmer Gold, 64 GB)</t>
  </si>
  <si>
    <t>T3 5G</t>
  </si>
  <si>
    <t>vivo T3 5G (Cosmic Blue, 256 GB)</t>
  </si>
  <si>
    <t>P4 Lite</t>
  </si>
  <si>
    <t>realme P4 Lite (Sea Blue, 128 GB)</t>
  </si>
  <si>
    <t>Galaxy A55 5G</t>
  </si>
  <si>
    <t>Samsung Galaxy A55 5G (Awesome Navy, 256 GB)</t>
  </si>
  <si>
    <t>Apple iPhone 16 Plus (White, 128 GB)</t>
  </si>
  <si>
    <t>Apple iPhone 17 Pro (Silver, 1 TB)</t>
  </si>
  <si>
    <t>REDMI A5 (Pondicherry Blue, 128 GB)</t>
  </si>
  <si>
    <t>vivo T3 5G (Crystal Flake, 128 GB)</t>
  </si>
  <si>
    <t>K13 Turbo 5G</t>
  </si>
  <si>
    <t>OPPO K13 Turbo 5G (White Knight, 128 GB)</t>
  </si>
  <si>
    <t>Galaxy S24 FE 5G</t>
  </si>
  <si>
    <t>Samsung Galaxy S24 FE 5G (Blue, 128 GB)</t>
  </si>
  <si>
    <t>K13x 5G 6000mAh and 45W SUPERVOOC Charger &amp; AI</t>
  </si>
  <si>
    <t>OPPO K13x 5G 6000mAh and 45W SUPERVOOC Charger &amp; AI (Sunset Peach, 128 GB)</t>
  </si>
  <si>
    <t>15 Lite 5G</t>
  </si>
  <si>
    <t>realme 15 Lite 5G (Glitz Gold, 128 GB)</t>
  </si>
  <si>
    <t>P4 Power 5G</t>
  </si>
  <si>
    <t>realme P4 Power 5G (TransBlue, 256 GB)</t>
  </si>
  <si>
    <t>realme P4 Power 5G (TransBlue, 128 GB)</t>
  </si>
  <si>
    <t>Galaxy F36 5G</t>
  </si>
  <si>
    <t>Samsung Galaxy F36 5G (Black, 128 GB)</t>
  </si>
  <si>
    <t>13 5G</t>
  </si>
  <si>
    <t>REDMI 13 5G (Hawaiian Blue, 128 GB)</t>
  </si>
  <si>
    <t>Galaxy S25 Plus 5G</t>
  </si>
  <si>
    <t>Samsung Galaxy S25 Plus 5G (Silver Shadow, 256 GB)</t>
  </si>
  <si>
    <t>T4 Pro 5G</t>
  </si>
  <si>
    <t>vivo T4 Pro 5G (Nitro Blue, 128 GB)</t>
  </si>
  <si>
    <t>Samsung Galaxy A26 5G (Awesome black, Black, 128 GB)</t>
  </si>
  <si>
    <t>realme 14 Pro+ 5G (Pearl White, 512 GB)</t>
  </si>
  <si>
    <t>iPhone 17e</t>
  </si>
  <si>
    <t>Apple iPhone 17e (White, 256 GB)</t>
  </si>
  <si>
    <t>Narzo 90 5G</t>
  </si>
  <si>
    <t>realme Narzo 90 5G (Carbon Black, 128 GB)</t>
  </si>
  <si>
    <t>Samsung Galaxy F36 5G (Red, 128 GB)</t>
  </si>
  <si>
    <t>Samsung Galaxy A55 5G (Awesome Navy, 128 GB)</t>
  </si>
  <si>
    <t>realme 14 Pro+ 5G (Suede Grey, 256 GB)</t>
  </si>
  <si>
    <t>Samsung Galaxy S24 5G Snapdragon (Marble Gray, 256 GB)</t>
  </si>
  <si>
    <t>iPhone 17</t>
  </si>
  <si>
    <t>Apple iPhone 17 (Black, 256 GB)</t>
  </si>
  <si>
    <t>iPhone 17 Pro Max</t>
  </si>
  <si>
    <t>Apple iPhone 17 Pro Max (Silver, 512 GB)</t>
  </si>
  <si>
    <t>V50e 5G</t>
  </si>
  <si>
    <t>vivo V50e 5G (Sapphire Blue, 256 GB)</t>
  </si>
  <si>
    <t>Apple iPhone 17 (White, 512 GB)</t>
  </si>
  <si>
    <t>Galaxy S26 Ultra 5G</t>
  </si>
  <si>
    <t>Samsung Galaxy S26 Ultra 5G (Sky Blue, 256 GB)</t>
  </si>
  <si>
    <t>Galaxy S25 5G</t>
  </si>
  <si>
    <t>Samsung Galaxy S25 5G (Silver Shadow, 256 GB)</t>
  </si>
  <si>
    <t>realme Narzo 80 Pro 5G (Speed Silver, 256 GB)</t>
  </si>
  <si>
    <t>12C</t>
  </si>
  <si>
    <t>REDMI 12C (Lavender Purple, 128 GB)</t>
  </si>
  <si>
    <t>Galaxy A56 5G</t>
  </si>
  <si>
    <t>Samsung Galaxy A56 5G (Awesome Graphite, 256 GB)</t>
  </si>
  <si>
    <t>Galaxy S9</t>
  </si>
  <si>
    <t>Samsung Galaxy S9 (Coral Blue, 64 GB)</t>
  </si>
  <si>
    <t>iPhone Air</t>
  </si>
  <si>
    <t>Apple iPhone Air (Space Black, 512 GB)</t>
  </si>
  <si>
    <t>Samsung Galaxy A16 5G (Gold, 128 GB)</t>
  </si>
  <si>
    <t>Y27</t>
  </si>
  <si>
    <t>vivo Y27 (Sea Blue, 128 GB)</t>
  </si>
  <si>
    <t>M15</t>
  </si>
  <si>
    <t>Samsung M15 (Blue Topaz, 128 GB)</t>
  </si>
  <si>
    <t>Galaxy Z Fold5</t>
  </si>
  <si>
    <t>Samsung Galaxy Z Fold5 (Icy Blue, 256 GB)</t>
  </si>
  <si>
    <t>Galaxy Z Fold6 5G</t>
  </si>
  <si>
    <t>Samsung Galaxy Z Fold6 5G (Navy, 512 GB)</t>
  </si>
  <si>
    <t>iPhone 15 Pro</t>
  </si>
  <si>
    <t>Apple iPhone 15 Pro (White Titanium, 128 GB)</t>
  </si>
  <si>
    <t>Galaxy M06 5G</t>
  </si>
  <si>
    <t>Samsung Galaxy M06 5G (Blazing Black, 64 GB)</t>
  </si>
  <si>
    <t>A3X</t>
  </si>
  <si>
    <t>REDMI A3X (Midnight Black, 128 GB)</t>
  </si>
  <si>
    <t>F29 Pro 5G</t>
  </si>
  <si>
    <t>OPPO F29 Pro 5G (Granite Black, 256 GB)</t>
  </si>
  <si>
    <t>Galaxy A06</t>
  </si>
  <si>
    <t>Samsung Galaxy A06 (Light Blue, 64 GB)</t>
  </si>
  <si>
    <t>Galaxy F12</t>
  </si>
  <si>
    <t>Samsung Galaxy F12 (Sea Green, 64 GB)</t>
  </si>
  <si>
    <t>Galaxy F22</t>
  </si>
  <si>
    <t>Samsung Galaxy F22 (Denim Black, 128 GB)</t>
  </si>
  <si>
    <t>Galaxy S24 Exynos 5G</t>
  </si>
  <si>
    <t>Samsung Galaxy S24 Exynos 5G (Cobalt Violet, 128 GB)</t>
  </si>
  <si>
    <t>Y200e 5G</t>
  </si>
  <si>
    <t>vivo Y200e 5G (Black Diamond, 128 GB)</t>
  </si>
  <si>
    <t>Galaxy S26 5G</t>
  </si>
  <si>
    <t>Samsung Galaxy S26 5G (Black, 512 GB)</t>
  </si>
  <si>
    <t>P3 Pro 5G</t>
  </si>
  <si>
    <t>realme P3 Pro 5G (Galaxy Purple, 256 GB)</t>
  </si>
  <si>
    <t>V30e</t>
  </si>
  <si>
    <t>vivo V30e (Velvet Red, 128 GB)</t>
  </si>
  <si>
    <t>Galaxy Z Flip5</t>
  </si>
  <si>
    <t>Samsung Galaxy Z Flip5 (Graphite, 512 GB)</t>
  </si>
  <si>
    <t>Samsung Galaxy F36 5G (Black, 256 GB)</t>
  </si>
  <si>
    <t>Galaxy F56 5G</t>
  </si>
  <si>
    <t>Samsung Galaxy F56 5G (Violet, 128 GB)</t>
  </si>
  <si>
    <t>15 Pro 5G</t>
  </si>
  <si>
    <t>realme 15 Pro 5G (Flowing Silver, 128 GB)</t>
  </si>
  <si>
    <t>iPhone 16e</t>
  </si>
  <si>
    <t>Apple iPhone 16e (White, 128 GB)</t>
  </si>
  <si>
    <t>Note 12 5G</t>
  </si>
  <si>
    <t>REDMI Note 12 5G (Sunrise Gold, 256 GB)</t>
  </si>
  <si>
    <t>vivo V60 5G (Mist Gray, 128 GB)</t>
  </si>
  <si>
    <t>Samsung Galaxy Z Fold6 5G (Navy, 256 GB)</t>
  </si>
  <si>
    <t>OPPO Reno14 5G (Forest Green, 512 GB)</t>
  </si>
  <si>
    <t>REDMI 12 (Moonstone Silver, 128 GB)</t>
  </si>
  <si>
    <t>C63 5G Charger in the Box</t>
  </si>
  <si>
    <t>realme C63 5G Charger in the Box (Starry Gold, 128 GB)</t>
  </si>
  <si>
    <t>Samsung Galaxy S25 5G (Icyblue, 512 GB)</t>
  </si>
  <si>
    <t>Apple iPhone Air (Light Gold, 256 GB)</t>
  </si>
  <si>
    <t>realme P3 Pro 5G (Nebula Glow, 256 GB)</t>
  </si>
  <si>
    <t>Samsung Galaxy A16 5G (Light Green, 256 GB)</t>
  </si>
  <si>
    <t>OPPO Reno14 Pro 5G (Pearl White, 512 GB)</t>
  </si>
  <si>
    <t>Apple iPhone 11 Pro (Midnight Green, 64 GB)</t>
  </si>
  <si>
    <t>F25 Pro 5G</t>
  </si>
  <si>
    <t>OPPO F25 Pro 5G (Ocean Blue, 256 GB)</t>
  </si>
  <si>
    <t>Samsung Galaxy S25 Ultra 5G (Titanium Black, 256 GB)</t>
  </si>
  <si>
    <t>Galaxy M34 5G without charger</t>
  </si>
  <si>
    <t>Samsung Galaxy M34 5G without charger (Midnight Blue, 128 GB)</t>
  </si>
  <si>
    <t>14T 5G</t>
  </si>
  <si>
    <t>realme 14T 5G (Obsidian Black, 128 GB)</t>
  </si>
  <si>
    <t>Note 4</t>
  </si>
  <si>
    <t>REDMI Note 4 (Grey, 64 GB)</t>
  </si>
  <si>
    <t>5 Pro</t>
  </si>
  <si>
    <t>realme 5 Pro (Sparkling Blue, 128 GB)</t>
  </si>
  <si>
    <t>A18</t>
  </si>
  <si>
    <t>OPPO A18 (Glowing Black, 128 GB)</t>
  </si>
  <si>
    <t>realme 15 5G (Flowing Silver, 256 GB)</t>
  </si>
  <si>
    <t>A5 Pro 5G</t>
  </si>
  <si>
    <t>OPPO A5 Pro 5G (Feather Blue, 256 GB)</t>
  </si>
  <si>
    <t>A38</t>
  </si>
  <si>
    <t>OPPO A38 (Glowing Black, 128 GB)</t>
  </si>
  <si>
    <t>F31 5G</t>
  </si>
  <si>
    <t>OPPO F31 5G (Bloom Red, 256 GB)</t>
  </si>
  <si>
    <t>iPhone 6s</t>
  </si>
  <si>
    <t>Apple iPhone 6s (Silver, 128 GB)</t>
  </si>
  <si>
    <t>realme GT 6 (Razor Green, 512 GB)</t>
  </si>
  <si>
    <t>REDMI A3X (Midnight Black, 64 GB)</t>
  </si>
  <si>
    <t>C75 5G</t>
  </si>
  <si>
    <t>realme C75 5G (Lily White, 128 GB)</t>
  </si>
  <si>
    <t>X100</t>
  </si>
  <si>
    <t>vivo X100 (Asteroid Black, 512 GB)</t>
  </si>
  <si>
    <t>realme 13 5G (Dark Purple, 128 GB)</t>
  </si>
  <si>
    <t>12 5G</t>
  </si>
  <si>
    <t>REDMI 12 5G (Jade Black, 256 GB)</t>
  </si>
  <si>
    <t>P2 Pro 5G</t>
  </si>
  <si>
    <t>realme P2 Pro 5G (Parrot Green, 128 GB)</t>
  </si>
  <si>
    <t>realme P4 Pro 5G (Dark Oak Wood, 256 GB)</t>
  </si>
  <si>
    <t>realme C75 5G (Midnight Lily, 128 GB)</t>
  </si>
  <si>
    <t>iPhone 14</t>
  </si>
  <si>
    <t>Apple iPhone 14 (Blue, 128 GB)</t>
  </si>
  <si>
    <t>Galaxy Z Flip7 5G</t>
  </si>
  <si>
    <t>Samsung Galaxy Z Flip7 5G (Blue Shadow, 512 GB)</t>
  </si>
  <si>
    <t>A3</t>
  </si>
  <si>
    <t>REDMI A3 (Lake Blue, 128 GB)</t>
  </si>
  <si>
    <t>Apple iPhone 15 Pro (Blue Titanium, 512 GB)</t>
  </si>
  <si>
    <t>Y400 Pro 5G</t>
  </si>
  <si>
    <t>vivo Y400 Pro 5G (Fest Gold, 256 GB)</t>
  </si>
  <si>
    <t>iPhone 13 Pro Max</t>
  </si>
  <si>
    <t>Apple iPhone 13 Pro Max (Silver, 128 GB)</t>
  </si>
  <si>
    <t>Samsung M56 5G (Black, 128 GB)</t>
  </si>
  <si>
    <t>A4</t>
  </si>
  <si>
    <t>REDMI A4 (Sparkle Purple, 128 GB)</t>
  </si>
  <si>
    <t>V50 5G</t>
  </si>
  <si>
    <t>vivo V50 5G (Titanium Grey, 256 GB)</t>
  </si>
  <si>
    <t>vivo V50 5G (Rose Red, 128 GB)</t>
  </si>
  <si>
    <t>F31 Pro+ 5G</t>
  </si>
  <si>
    <t>OPPO F31 Pro+ 5G (Festival Pink, 256 GB)</t>
  </si>
  <si>
    <t>iPhone 15 Plus</t>
  </si>
  <si>
    <t>Apple iPhone 15 Plus (Pink, 128 GB)</t>
  </si>
  <si>
    <t>Y36</t>
  </si>
  <si>
    <t>vivo Y36 (Meteor Black, 128 GB)</t>
  </si>
  <si>
    <t>A78</t>
  </si>
  <si>
    <t>OPPO A78 (Aqua Green, 128 GB)</t>
  </si>
  <si>
    <t>Note 13 Pro+ 5G</t>
  </si>
  <si>
    <t>REDMI Note 13 Pro+ 5G (Fusion Purple, 256 GB)</t>
  </si>
  <si>
    <t>OPPO F31 5G (Cloud Green, 128 GB)</t>
  </si>
  <si>
    <t>Galaxy S25 FE 5G</t>
  </si>
  <si>
    <t>Samsung Galaxy S25 FE 5G (White, 512 GB)</t>
  </si>
  <si>
    <t>F29 PRO 5G</t>
  </si>
  <si>
    <t>OPPO F29 PRO 5G (Marble White, 256 GB)</t>
  </si>
  <si>
    <t>Samsung Galaxy A14 5G (Light Green, 128 GB)</t>
  </si>
  <si>
    <t>V25 Pro 5G</t>
  </si>
  <si>
    <t>vivo V25 Pro 5G (Sailing Blue, 128 GB)</t>
  </si>
  <si>
    <t>Galaxy F14 5G</t>
  </si>
  <si>
    <t>Samsung Galaxy F14 5G (OMG Black, 128 GB)</t>
  </si>
  <si>
    <t>Galaxy F55 5G</t>
  </si>
  <si>
    <t>Samsung Galaxy F55 5G (Apricot Crush, 256 GB)</t>
  </si>
  <si>
    <t>iPhone 15</t>
  </si>
  <si>
    <t>Apple iPhone 15 (Pink, 256 GB)</t>
  </si>
  <si>
    <t>iPhone 13 Pro</t>
  </si>
  <si>
    <t>Apple iPhone 13 Pro (Silver, 256 GB)</t>
  </si>
  <si>
    <t>Galaxy Z Fold4 5G</t>
  </si>
  <si>
    <t>Samsung Galaxy Z Fold4 5G (Graygreen, 256 GB)</t>
  </si>
  <si>
    <t>Galaxy M35 5G</t>
  </si>
  <si>
    <t>Samsung Galaxy M35 5G (Thunder Grey, 128 GB)</t>
  </si>
  <si>
    <t>vivo V50e 5G (Sapphire Blue, 128 GB)</t>
  </si>
  <si>
    <t>Note 11S</t>
  </si>
  <si>
    <t>REDMI Note 11S (Polar White, 128 GB)</t>
  </si>
  <si>
    <t>iPhone 12</t>
  </si>
  <si>
    <t>Apple iPhone 12 (Blue, 256 GB)</t>
  </si>
  <si>
    <t>Apple iPhone 13 Pro (Silver, 512 GB)</t>
  </si>
  <si>
    <t>Apple iPhone 16e (Black, 256 GB)</t>
  </si>
  <si>
    <t>realme P3 Ultra 5G (Orion Red, 256 GB)</t>
  </si>
  <si>
    <t>realme P3 Ultra 5G (Orion Red, 128 GB)</t>
  </si>
  <si>
    <t>realme Gt 7 (Icesense Black, 256 GB)</t>
  </si>
  <si>
    <t>REDMI 15 5G (Frosted White, 256 GB)</t>
  </si>
  <si>
    <t>K13 Turbo Pro 5G</t>
  </si>
  <si>
    <t>OPPO K13 Turbo Pro 5G (Midnight Maverick, 256 GB)</t>
  </si>
  <si>
    <t>Samsung Galaxy Z Fold6 5G (Silver Shadow, 1 TB)</t>
  </si>
  <si>
    <t>Samsung Galaxy Z Flip5 (Mint, 256 GB)</t>
  </si>
  <si>
    <t>Galaxy M17 5G</t>
  </si>
  <si>
    <t>Samsung Galaxy M17 5G (Sapphire Black, 128 GB)</t>
  </si>
  <si>
    <t>realme C63 5G Charger in the Box (Forest Green, 128 GB)</t>
  </si>
  <si>
    <t>realme 15 Lite 5G (Glitz Gold, 256 GB)</t>
  </si>
  <si>
    <t>Samsung Galaxy A56 5G (Awesome Light Gray, 256 GB)</t>
  </si>
  <si>
    <t>Apple iPhone 13 Pro (Gold, 128 GB)</t>
  </si>
  <si>
    <t>Note 14 Pro 5G</t>
  </si>
  <si>
    <t>REDMI Note 14 Pro 5G (Champagne Gold, 128 GB)</t>
  </si>
  <si>
    <t>Galaxy M14 4G</t>
  </si>
  <si>
    <t>Samsung Galaxy M14 4G (Saphire Blue, 64 GB)</t>
  </si>
  <si>
    <t>realme 16 Pro 5G (Master Gold, 256 GB)</t>
  </si>
  <si>
    <t>Apple iPhone 12 (Purple, 128 GB)</t>
  </si>
  <si>
    <t>OPPO K13x 5G 6000mAh and 45W SUPERVOOC Charger &amp; AI (Midnight Violet, 128 GB)</t>
  </si>
  <si>
    <t>Y400 5G</t>
  </si>
  <si>
    <t>vivo Y400 5G (Glam White, 256 GB)</t>
  </si>
  <si>
    <t>REDMI A4 (Starry Black, 64 GB)</t>
  </si>
  <si>
    <t>OPPO A5 Pro 5G (Mocha Brown, 128 GB)</t>
  </si>
  <si>
    <t>Apple iPhone 7 (Silver, 256 GB)</t>
  </si>
  <si>
    <t>Samsung Galaxy Z Flip6 5G (Blue, 512 GB)</t>
  </si>
  <si>
    <t>Y30</t>
  </si>
  <si>
    <t>vivo Y30 (Dazzle Blue, 128 GB)</t>
  </si>
  <si>
    <t>Samsung Galaxy F56 5G (Violet, 256 GB)</t>
  </si>
  <si>
    <t>Galaxy S22 5G</t>
  </si>
  <si>
    <t>Samsung Galaxy S22 5G (Green, 128 GB)</t>
  </si>
  <si>
    <t>Y01</t>
  </si>
  <si>
    <t>vivo Y01 (Elegant Black, 32 GB)</t>
  </si>
  <si>
    <t>C73 5G</t>
  </si>
  <si>
    <t>realme C73 5G (Jade Green, 64 GB)</t>
  </si>
  <si>
    <t>Galaxy M51</t>
  </si>
  <si>
    <t>Samsung Galaxy M51 (Electric Blue, 128 GB)</t>
  </si>
  <si>
    <t>Apple iPhone 15 Plus (Yellow, 512 GB)</t>
  </si>
  <si>
    <t>Samsung Galaxy F22 (Denim Blue, 64 GB)</t>
  </si>
  <si>
    <t>C83 5G</t>
  </si>
  <si>
    <t>realme C83 5G (Sprouting Green, 128 GB)</t>
  </si>
  <si>
    <t>Note 14 Pro+ 5G</t>
  </si>
  <si>
    <t>REDMI Note 14 Pro+ 5G (Champagne Gold, 512 GB)</t>
  </si>
  <si>
    <t>vivo Y19s 5G (Majestic Green, 128.0 GB)</t>
  </si>
  <si>
    <t>9 Power</t>
  </si>
  <si>
    <t>REDMI 9 Power (Blazing Blue, 64 GB)</t>
  </si>
  <si>
    <t>Note 14 SE 5G</t>
  </si>
  <si>
    <t>REDMI Note 14 SE 5G (Mystique White, 128 GB)</t>
  </si>
  <si>
    <t>REDMI Note 12 5G (Matte Black, 128 GB)</t>
  </si>
  <si>
    <t>Apple iPhone 14 (Midnight, 256 GB)</t>
  </si>
  <si>
    <t>Apple iPhone 17 Pro Max (Silver, 256 GB)</t>
  </si>
  <si>
    <t>vivo Y400 Pro 5G (Freestyle White, 128 GB)</t>
  </si>
  <si>
    <t>Apple iPhone 17e (White, 512 GB)</t>
  </si>
  <si>
    <t>Galaxy F17 5G</t>
  </si>
  <si>
    <t>Samsung Galaxy F17 5G (Violet Pop, 128 GB)</t>
  </si>
  <si>
    <t>realme P3 Pro 5G (Galaxy Purple, 128 GB)</t>
  </si>
  <si>
    <t>GT 7T</t>
  </si>
  <si>
    <t>realme GT 7T (Racing Yellow, 256 GB)</t>
  </si>
  <si>
    <t>Galaxy M32 Prime Edition</t>
  </si>
  <si>
    <t>Samsung Galaxy M32 Prime Edition (Light Blue, 64 GB)</t>
  </si>
  <si>
    <t>Galaxy A72</t>
  </si>
  <si>
    <t>Samsung Galaxy A72 (Awesome Violet, 128 GB)</t>
  </si>
  <si>
    <t>GT 8 Pro</t>
  </si>
  <si>
    <t>realme GT 8 Pro (Diary White, 256 GB)</t>
  </si>
  <si>
    <t>Narzo 10</t>
  </si>
  <si>
    <t>realme Narzo 10 (That White, 128 GB)</t>
  </si>
  <si>
    <t>Samsung Galaxy A36 5G (Awesome Lavender, 256 GB)</t>
  </si>
  <si>
    <t>REDMI Note 14 Pro 5G (Champagne Gold, 256 GB)</t>
  </si>
  <si>
    <t>realme 12x 5G (Green, 128 GB)</t>
  </si>
  <si>
    <t>K10 5G</t>
  </si>
  <si>
    <t>OPPO K10 5G (Midnight Black, 128 GB)</t>
  </si>
  <si>
    <t>F27 Pro+</t>
  </si>
  <si>
    <t>OPPO F27 Pro+ (Dusk Pink, 256 GB)</t>
  </si>
  <si>
    <t>Galaxy A34 5G</t>
  </si>
  <si>
    <t>Samsung Galaxy A34 5G (Awesome Graphite, 128 GB)</t>
  </si>
  <si>
    <t>OPPO F27 Pro+ (Midnight Navy, 128 GB)</t>
  </si>
  <si>
    <t>OPPO Find X9 (Space Black, 512 GB)</t>
  </si>
  <si>
    <t>Note 15 Pro + 5G</t>
  </si>
  <si>
    <t>REDMI Note 15 Pro + 5G (Carbon Black, 256 GB)</t>
  </si>
  <si>
    <t>Galaxy Z Flip3 5G</t>
  </si>
  <si>
    <t>Samsung Galaxy Z Flip3 5G (Cream, 128 GB)</t>
  </si>
  <si>
    <t>realme 8i (Space Purple, 128 GB)</t>
  </si>
  <si>
    <t>14 Pro Lite 5G</t>
  </si>
  <si>
    <t>realme 14 Pro Lite 5G (Glass Gold, 128 GB)</t>
  </si>
  <si>
    <t>realme 14 Pro+ 5G (Pearl White, 128 GB)</t>
  </si>
  <si>
    <t>Apple iPhone 12 (Green, 64 GB)</t>
  </si>
  <si>
    <t>REDMI Note 15 5G (Black, 128 GB)</t>
  </si>
  <si>
    <t>Apple iPhone 17 Pro (Silver, 256 GB)</t>
  </si>
  <si>
    <t>Galaxy M07</t>
  </si>
  <si>
    <t>Samsung Galaxy M07 (Black, 64 GB)</t>
  </si>
  <si>
    <t>realme 14 Pro Lite 5G (Glass Gold, 256 GB)</t>
  </si>
  <si>
    <t>C71</t>
  </si>
  <si>
    <t>realme C71 (Obsidian Black, 128 GB)</t>
  </si>
  <si>
    <t>Galaxy On6</t>
  </si>
  <si>
    <t>Samsung Galaxy On6 (Black, 64 GB)</t>
  </si>
  <si>
    <t>realme C83 5G (Sprouting Green, 64 GB)</t>
  </si>
  <si>
    <t>realme 15 Pro 5G (Silk Purple, 512 GB)</t>
  </si>
  <si>
    <t>vivo V50 5G (Starry Night, 512 GB)</t>
  </si>
  <si>
    <t>realme 15 Pro 5G (Flowing Silver, 256 GB)</t>
  </si>
  <si>
    <t>realme P2 Pro 5G (Eagle Grey, 512 GB)</t>
  </si>
  <si>
    <t>Samsung Galaxy F55 5G (Raisin Black, 256 GB)</t>
  </si>
  <si>
    <t>realme P3 5G (Space Silver, 256 GB)</t>
  </si>
  <si>
    <t>Galaxy S23 FE</t>
  </si>
  <si>
    <t>Samsung Galaxy S23 FE (Graphite, 128 GB)</t>
  </si>
  <si>
    <t>OPPO F31 Pro+ 5G (Himalayan White, 256 GB)</t>
  </si>
  <si>
    <t>Galaxy F13</t>
  </si>
  <si>
    <t>Samsung Galaxy F13 (Nightsky Green, 128 GB)</t>
  </si>
  <si>
    <t>REDMI 15C 5G (Midnight Black, 128 GB)</t>
  </si>
  <si>
    <t>Galaxy S24+ 5G</t>
  </si>
  <si>
    <t>Samsung Galaxy S24+ 5G (Cobalt Violet, 256 GB)</t>
  </si>
  <si>
    <t>Galaxy S23 5G</t>
  </si>
  <si>
    <t>Samsung Galaxy S23 5G (Green, 128 GB)</t>
  </si>
  <si>
    <t>Galaxy A05s</t>
  </si>
  <si>
    <t>Samsung Galaxy A05s (Light Green, 128 GB)</t>
  </si>
  <si>
    <t>REDMI Note-14 Pro+ 5G (Phantom Purple, 512 GB)</t>
  </si>
  <si>
    <t>Galaxy A15 5G</t>
  </si>
  <si>
    <t>Samsung Galaxy A15 5G (Blue Black, 128 GB)</t>
  </si>
  <si>
    <t>realme C61 (Marble Black, 128 GB)</t>
  </si>
  <si>
    <t>realme P2 Pro 5G (Parrot Green, 256 GB)</t>
  </si>
  <si>
    <t>vivo X300 (Elite Black, 512 GB)</t>
  </si>
  <si>
    <t>Samsung Galaxy Z Fold5 (Cream, 512 GB)</t>
  </si>
  <si>
    <t>Galaxy S23 Ultra 5G</t>
  </si>
  <si>
    <t>Samsung Galaxy S23 Ultra 5G (Green, 256 GB)</t>
  </si>
  <si>
    <t>F27 5G</t>
  </si>
  <si>
    <t>OPPO F27 5G (Emerald Green, 128 GB)</t>
  </si>
  <si>
    <t>Galaxy S20+</t>
  </si>
  <si>
    <t>Samsung Galaxy S20+ (Cosmic Gray, 128 GB)</t>
  </si>
  <si>
    <t>REDMI Note 15 Pro 5G (Carbon Black, 128 GB)</t>
  </si>
  <si>
    <t>realme NARZO 80 Pro 5G (Nitro Orange, 256 GB)</t>
  </si>
  <si>
    <t>X300 Pro</t>
  </si>
  <si>
    <t>vivo X300 Pro (Dune Gold, 512 GB)</t>
  </si>
  <si>
    <t>F21s Pro</t>
  </si>
  <si>
    <t>OPPO F21s Pro (Dawnlight Gold, 128 GB)</t>
  </si>
  <si>
    <t>Y200 Pro 5G</t>
  </si>
  <si>
    <t>vivo Y200 Pro 5G (Silk Green, 128 GB)</t>
  </si>
  <si>
    <t>K50i 5G</t>
  </si>
  <si>
    <t>REDMI K50i 5G (Stealth Black, 256 GB)</t>
  </si>
  <si>
    <t>vivo V60e (Elite Purple, 256 GB)</t>
  </si>
  <si>
    <t>iPhone 14 Plus RED, 256 GB)</t>
  </si>
  <si>
    <t>Apple iPhone 14 Plus ((PRODUCT)RED, 256 GB)</t>
  </si>
  <si>
    <t>S25 Ultra 5G</t>
  </si>
  <si>
    <t>Samsung S25 Ultra 5G (Titanium Gray, 256 GB)</t>
  </si>
  <si>
    <t>A5 5G</t>
  </si>
  <si>
    <t>OPPO A5 5G (Mist White, 128 GB)</t>
  </si>
  <si>
    <t>realme C61 (Safari Green, 64 GB)</t>
  </si>
  <si>
    <t>realme Gt 7 (Icesense Blue, 256 GB)</t>
  </si>
  <si>
    <t>Apple iPhone 13 mini (Starlight, 256 GB)</t>
  </si>
  <si>
    <t>iPhone 11</t>
  </si>
  <si>
    <t>Apple iPhone 11 (Green, 64 GB) (Includes EarPods, Power Adapter)</t>
  </si>
  <si>
    <t>OPPO K13 Turbo Pro 5G (Silver Knight, 256 GB)</t>
  </si>
  <si>
    <t>Samsung Galaxy Z Flip7 5G (Blue Shadow, 256 GB)</t>
  </si>
  <si>
    <t>K14x 5G</t>
  </si>
  <si>
    <t>OPPO K14x 5G (Icy Blue, 64 GB)</t>
  </si>
  <si>
    <t>A1+</t>
  </si>
  <si>
    <t>REDMI A1+ (Light Green, 32 GB)</t>
  </si>
  <si>
    <t>REDMI A1+ (Light Blue, 32 GB)</t>
  </si>
  <si>
    <t>Samsung Galaxy F14 5G (Green, 128 GB)</t>
  </si>
  <si>
    <t>Apple iPhone 16 (White, 128 GB)</t>
  </si>
  <si>
    <t>K13 5G with 7000mAh and 80W SUPERVOOC Charger In-The-Box</t>
  </si>
  <si>
    <t>OPPO K13 5G with 7000mAh and 80W SUPERVOOC Charger In-The-Box (Icy Purple, 256 GB)</t>
  </si>
  <si>
    <t>OPPO K13 5G with 7000mAh and 80W SUPERVOOC Charger In-The-Box (Icy Purple, 128 GB)</t>
  </si>
  <si>
    <t>Galaxy F06 5G</t>
  </si>
  <si>
    <t>Samsung Galaxy F06 5G (Bahama Blue, 64 GB)</t>
  </si>
  <si>
    <t>Galaxy core prime</t>
  </si>
  <si>
    <t>Samsung Galaxy core prime (Milky White, 8 GB)</t>
  </si>
  <si>
    <t>M21 2021 Edition</t>
  </si>
  <si>
    <t>Samsung M21 2021 Edition (Arctic blue, 64 GB)</t>
  </si>
  <si>
    <t>Samsung Galaxy A06 5G (Black, 128 GB)</t>
  </si>
  <si>
    <t>P3x 5G</t>
  </si>
  <si>
    <t>realme P3x 5G (Lunar Silver, 128 GB)</t>
  </si>
  <si>
    <t>realme P3x 5G (Midnight Blue, 128 GB)</t>
  </si>
  <si>
    <t>realme P4 Power 5G (TransSilver, 256 GB)</t>
  </si>
  <si>
    <t>T4 Lite 5G Charger in the Box</t>
  </si>
  <si>
    <t>vivo T4 Lite 5G Charger in the Box (Prism Blue, 64 GB)</t>
  </si>
  <si>
    <t>vivo T4 Pro 5G (Nitro Blue, 256 GB)</t>
  </si>
  <si>
    <t>F21 Pro</t>
  </si>
  <si>
    <t>OPPO F21 Pro (Sunset Orange, 128 GB)</t>
  </si>
  <si>
    <t>REDMI Note 13 Pro+ 5G (Fusion White, 256 GB)</t>
  </si>
  <si>
    <t>F31 Pro 5G</t>
  </si>
  <si>
    <t>OPPO F31 Pro 5G (Desert Gold, 128 GB)</t>
  </si>
  <si>
    <t>Y31 5G</t>
  </si>
  <si>
    <t>vivo Y31 5G (Rose Red, 128 GB)</t>
  </si>
  <si>
    <t>vivo V70 Elite (Passion Red, 512 GB)</t>
  </si>
  <si>
    <t>Samsung Galaxy S25 FE 5G (White, 128 GB)</t>
  </si>
  <si>
    <t>Samsung Galaxy A07 5G (Light Violet, 128 GB)</t>
  </si>
  <si>
    <t>vivo V30e (Silk Blue, 256 GB)</t>
  </si>
  <si>
    <t>realme 13 5G (Dark Purple, 256 GB)</t>
  </si>
  <si>
    <t>Apple iPhone 11 (Black, 128 GB)</t>
  </si>
  <si>
    <t>OPPO F29 Pro 5G (Granite Black, 128 GB)</t>
  </si>
  <si>
    <t>A3x</t>
  </si>
  <si>
    <t>OPPO A3x (Nebula Red, 128 GB)</t>
  </si>
  <si>
    <t>realme 5 Pro (Sparkling Blue, 64 GB)</t>
  </si>
  <si>
    <t>vivo Y22 (Metaverse Green, 64 GB)</t>
  </si>
  <si>
    <t>Galaxy S21 FE 5G</t>
  </si>
  <si>
    <t>Samsung Galaxy S21 FE 5G (Olive Green, 128 GB)</t>
  </si>
  <si>
    <t>12+ 5G</t>
  </si>
  <si>
    <t>realme 12+ 5G (Navigator Beige, 256 GB)</t>
  </si>
  <si>
    <t>OPPO A5 5G (Aurora Green, 128 GB)</t>
  </si>
  <si>
    <t>Samsung Galaxy S26 Ultra 5G (White, 512 GB)</t>
  </si>
  <si>
    <t>Go</t>
  </si>
  <si>
    <t>REDMI Go (Blue, 8 GB)</t>
  </si>
  <si>
    <t>iPhone 13</t>
  </si>
  <si>
    <t>Apple iPhone 13 (Blue, 512 GB)</t>
  </si>
  <si>
    <t>Apple iPhone 14 Plus (Blue, 512 GB)</t>
  </si>
  <si>
    <t>A1</t>
  </si>
  <si>
    <t>REDMI A1 (Light Green, 32 GB)</t>
  </si>
  <si>
    <t>Galaxy M21 2021 Edition</t>
  </si>
  <si>
    <t>Samsung Galaxy M21 2021 Edition (Arctic Blue, 64 GB)</t>
  </si>
  <si>
    <t>Z2</t>
  </si>
  <si>
    <t>Samsung Z2 (Gold, 8 GB)</t>
  </si>
  <si>
    <t>P3 Lite 5G Charger in the Box</t>
  </si>
  <si>
    <t>realme P3 Lite 5G Charger in the Box (Purple Blossom, 128 GB)</t>
  </si>
  <si>
    <t>vivo T4 Lite 5G Charger in the Box (Prism Blue, 256 GB)</t>
  </si>
  <si>
    <t>REDMI Note-14 Pro 5G (Phantom Purple, 128 GB)</t>
  </si>
  <si>
    <t>REDMI Note 14 Pro+ 5G (Champagne Gold, 256 GB)</t>
  </si>
  <si>
    <t>realme 16 Pro+ 5G (Master Gold, 128 GB)</t>
  </si>
  <si>
    <t>realme C71 (Sea Blue, 64 GB)</t>
  </si>
  <si>
    <t>Galaxy F07</t>
  </si>
  <si>
    <t>Samsung Galaxy F07 (Green, 64 GB)</t>
  </si>
  <si>
    <t>Apple iPhone 15 (Pink, 128 GB)</t>
  </si>
  <si>
    <t>Narzo 80 Lite 4G</t>
  </si>
  <si>
    <t>realme Narzo 80 Lite 4G (Beach Gold, 64 GB)</t>
  </si>
  <si>
    <t>Y19e</t>
  </si>
  <si>
    <t>vivo Y19e (Majestic Green, 64 GB)</t>
  </si>
  <si>
    <t>OPPO K14x 5G (Icy Blue, 128 GB)</t>
  </si>
  <si>
    <t>realme P4 Lite (Sea Blue, 64 GB)</t>
  </si>
  <si>
    <t>X Fold5 5G</t>
  </si>
  <si>
    <t>vivo X Fold5 5G (Grey, 512 GB)</t>
  </si>
  <si>
    <t>OPPO A3x (Nebula Red, 64 GB)</t>
  </si>
  <si>
    <t>Samsung Galaxy Z Flip3 5G (Phantom Black, 256 GB)</t>
  </si>
  <si>
    <t>REDMI 13C (Starshine Green, 128 GB)</t>
  </si>
  <si>
    <t>REDMI 12 5G (Pastel Blue, 128 GB)</t>
  </si>
  <si>
    <t>Apple iPhone 17 Pro Max (Cosmic Orange, 1 TB)</t>
  </si>
  <si>
    <t>Narzo 50A Prime</t>
  </si>
  <si>
    <t>realme Narzo 50A Prime (Flash Black, 64 GB)</t>
  </si>
  <si>
    <t>Galaxy Z Flip7 FE 5G</t>
  </si>
  <si>
    <t>Samsung Galaxy Z Flip7 FE 5G (Black, 256 GB)</t>
  </si>
  <si>
    <t>Note 14 5G</t>
  </si>
  <si>
    <t>REDMI Note 14 5G (Crimson Art, 128 GB)</t>
  </si>
  <si>
    <t>REDMI Note 14 Pro+ 5G (Champagne Gold, 128 GB)</t>
  </si>
  <si>
    <t>OPPO F27 5G (Amber Orange, 256 GB)</t>
  </si>
  <si>
    <t>vivo T4 Lite 5G Charger in the Box (Titanium Gold, 128 GB)</t>
  </si>
  <si>
    <t>realme P3 Lite 5G Charger in the Box (Lily White, 128 GB)</t>
  </si>
  <si>
    <t>Samsung Galaxy F06 5G (Bahama Blue, 128 GB)</t>
  </si>
  <si>
    <t>T4x 5G</t>
  </si>
  <si>
    <t>vivo T4x 5G (Pronto Purple, 128 GB)</t>
  </si>
  <si>
    <t>M06 5G</t>
  </si>
  <si>
    <t>Samsung M06 5G (Blazing Black, 128 GB)</t>
  </si>
  <si>
    <t>Narzo 80 Lite 5G</t>
  </si>
  <si>
    <t>realme Narzo 80 Lite 5G (Crystal Purple, 128 GB)</t>
  </si>
  <si>
    <t>Samsung M06 5G (Sage Green, 128 GB)</t>
  </si>
  <si>
    <t>M05</t>
  </si>
  <si>
    <t>Samsung M05 (Mint Green, 64 GB)</t>
  </si>
  <si>
    <t>realme Narzo 80 Lite 4G (Beach Gold, 128 GB)</t>
  </si>
  <si>
    <t>vivo Y400 5G (Olive Green, 128 GB)</t>
  </si>
  <si>
    <t>Samsung Galaxy F17 5G (Neo Black, 128 GB)</t>
  </si>
  <si>
    <t>Samsung Galaxy S26 5G (Cobalt Violet, 256 GB)</t>
  </si>
  <si>
    <t>Samsung Galaxy S23 Ultra 5G (Cream, 512 GB)</t>
  </si>
  <si>
    <t>Galaxy F34 5G</t>
  </si>
  <si>
    <t>Samsung Galaxy F34 5G (Mystic Green, 128 GB)</t>
  </si>
  <si>
    <t>realme C73 5G (Jade Green, 128 GB)</t>
  </si>
  <si>
    <t>Galaxy S25 Edge 5G</t>
  </si>
  <si>
    <t>Samsung Galaxy S25 Edge 5G (Titanium Jetblack, 256 GB)</t>
  </si>
  <si>
    <t>No relationship</t>
  </si>
  <si>
    <t xml:space="preserve"> discount and popularity</t>
  </si>
  <si>
    <t>correlation</t>
  </si>
  <si>
    <t>value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</si>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</sst>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0" borderId="11" xfId="0" applyFont="1" applyBorder="1"/>
    <xf numFmtId="0" fontId="16" fillId="0" borderId="12" xfId="0" applyFont="1" applyBorder="1"/>
    <xf numFmtId="0" fontId="0" fillId="0" borderId="13" xfId="0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22D36-CBD0-4064-A5BB-1770D591E4A8}" name="Table1" displayName="Table1" ref="A1:N449" totalsRowShown="0">
  <autoFilter ref="A1:N449" xr:uid="{B520AD4B-A8CB-4FB9-A000-0E7AAC5128E6}"/>
  <tableColumns count="14">
    <tableColumn id="1" xr3:uid="{8BDDB162-ABE5-43CB-924A-4CD93BA6C27C}" name="Brand"/>
    <tableColumn id="2" xr3:uid="{8F29857A-1D04-4E20-B281-BC0A798FB93F}" name="Model"/>
    <tableColumn id="3" xr3:uid="{6C62B262-18D7-4ABB-869B-9668467BC3A4}" name="RAM"/>
    <tableColumn id="4" xr3:uid="{BAC98FA5-4123-4476-9F85-79D42C73891F}" name="Storage"/>
    <tableColumn id="5" xr3:uid="{BA65584D-9EED-49CF-87C9-7762C30E2B34}" name="Battery"/>
    <tableColumn id="6" xr3:uid="{DA825BE8-0A42-4EDB-9637-C53488CE84FB}" name="price"/>
    <tableColumn id="7" xr3:uid="{ACB8B281-679E-4224-A3F9-ABCCF0D42790}" name="MRP"/>
    <tableColumn id="8" xr3:uid="{0C2BA504-B49C-4A26-93A5-2FA744B2156B}" name="Discount"/>
    <tableColumn id="9" xr3:uid="{0A55313D-EC93-4C74-AF02-13D5A7C4D927}" name="Rating"/>
    <tableColumn id="10" xr3:uid="{2B29C4EE-B61B-4877-A572-BDFE1C0B0F31}" name="Reviews"/>
    <tableColumn id="11" xr3:uid="{657F555B-DA6B-4B28-BAFF-67098D6AFFDB}" name="Price_Catogery"/>
    <tableColumn id="12" xr3:uid="{2C0EE187-288E-44B9-9322-408F5E97D7BB}" name="Popularity_score"/>
    <tableColumn id="14" xr3:uid="{C2487682-6CCF-44E7-BF87-B017A9BCB027}" name="Price/GB RAM"/>
    <tableColumn id="15" xr3:uid="{017C9971-FA77-4D70-B862-29D0F54C2D9D}" name="Product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AD4B-A8CB-4FB9-A000-0E7AAC5128E6}">
  <dimension ref="A1:U449"/>
  <sheetViews>
    <sheetView tabSelected="1" workbookViewId="0">
      <selection activeCell="I13" sqref="I13"/>
    </sheetView>
  </sheetViews>
  <sheetFormatPr defaultRowHeight="14.4" x14ac:dyDescent="0.3"/>
  <cols>
    <col min="1" max="1" width="8.33203125" bestFit="1" customWidth="1"/>
    <col min="2" max="2" width="53.21875" bestFit="1" customWidth="1"/>
    <col min="3" max="3" width="11.5546875" customWidth="1"/>
    <col min="4" max="4" width="9.5546875" bestFit="1" customWidth="1"/>
    <col min="5" max="5" width="9.21875" bestFit="1" customWidth="1"/>
    <col min="6" max="6" width="7.5546875" bestFit="1" customWidth="1"/>
    <col min="7" max="7" width="7" bestFit="1" customWidth="1"/>
    <col min="8" max="8" width="10.5546875" bestFit="1" customWidth="1"/>
    <col min="9" max="9" width="8.44140625" bestFit="1" customWidth="1"/>
    <col min="10" max="10" width="10" bestFit="1" customWidth="1"/>
    <col min="11" max="11" width="15.77734375" bestFit="1" customWidth="1"/>
    <col min="12" max="12" width="17.21875" bestFit="1" customWidth="1"/>
    <col min="13" max="13" width="14.6640625" bestFit="1" customWidth="1"/>
    <col min="14" max="14" width="75" bestFit="1" customWidth="1"/>
    <col min="19" max="19" width="21.109375" bestFit="1" customWidth="1"/>
    <col min="20" max="20" width="12.6640625" bestFit="1" customWidth="1"/>
    <col min="21" max="21" width="13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1" x14ac:dyDescent="0.3">
      <c r="A2" t="s">
        <v>14</v>
      </c>
      <c r="B2" t="s">
        <v>15</v>
      </c>
      <c r="C2">
        <v>8</v>
      </c>
      <c r="D2">
        <v>128</v>
      </c>
      <c r="E2">
        <v>5000</v>
      </c>
      <c r="F2">
        <v>17499</v>
      </c>
      <c r="G2">
        <v>21499</v>
      </c>
      <c r="H2">
        <v>18</v>
      </c>
      <c r="I2">
        <v>4.2</v>
      </c>
      <c r="J2">
        <v>219</v>
      </c>
      <c r="K2" t="s">
        <v>16</v>
      </c>
      <c r="L2">
        <v>919.8</v>
      </c>
      <c r="M2">
        <v>2187.375</v>
      </c>
      <c r="N2" t="s">
        <v>17</v>
      </c>
    </row>
    <row r="3" spans="1:21" x14ac:dyDescent="0.3">
      <c r="A3" t="s">
        <v>18</v>
      </c>
      <c r="B3" t="s">
        <v>19</v>
      </c>
      <c r="C3">
        <v>12</v>
      </c>
      <c r="D3">
        <v>512</v>
      </c>
      <c r="E3">
        <v>6200</v>
      </c>
      <c r="F3">
        <v>69999</v>
      </c>
      <c r="G3">
        <v>87999</v>
      </c>
      <c r="H3">
        <v>20</v>
      </c>
      <c r="I3">
        <v>4.7</v>
      </c>
      <c r="J3">
        <v>144</v>
      </c>
      <c r="K3" t="s">
        <v>20</v>
      </c>
      <c r="L3">
        <v>676.8</v>
      </c>
      <c r="M3">
        <v>5833.25</v>
      </c>
      <c r="N3" t="s">
        <v>21</v>
      </c>
      <c r="S3" s="1" t="s">
        <v>691</v>
      </c>
      <c r="T3" s="1" t="s">
        <v>692</v>
      </c>
      <c r="U3" s="1" t="s">
        <v>693</v>
      </c>
    </row>
    <row r="4" spans="1:21" x14ac:dyDescent="0.3">
      <c r="A4" t="s">
        <v>22</v>
      </c>
      <c r="B4" t="s">
        <v>23</v>
      </c>
      <c r="C4" t="s">
        <v>24</v>
      </c>
      <c r="D4">
        <v>512</v>
      </c>
      <c r="E4" t="s">
        <v>25</v>
      </c>
      <c r="F4">
        <v>94900</v>
      </c>
      <c r="G4" t="s">
        <v>26</v>
      </c>
      <c r="H4" t="s">
        <v>27</v>
      </c>
      <c r="I4">
        <v>4.5</v>
      </c>
      <c r="J4">
        <v>330</v>
      </c>
      <c r="K4" t="s">
        <v>20</v>
      </c>
      <c r="L4">
        <v>1485</v>
      </c>
      <c r="M4">
        <v>0</v>
      </c>
      <c r="N4" t="s">
        <v>28</v>
      </c>
      <c r="S4" s="2"/>
      <c r="T4" s="2"/>
      <c r="U4" s="2"/>
    </row>
    <row r="5" spans="1:21" x14ac:dyDescent="0.3">
      <c r="A5" t="s">
        <v>29</v>
      </c>
      <c r="B5" t="s">
        <v>30</v>
      </c>
      <c r="C5">
        <v>8</v>
      </c>
      <c r="D5">
        <v>256</v>
      </c>
      <c r="E5">
        <v>5500</v>
      </c>
      <c r="F5">
        <v>23859</v>
      </c>
      <c r="G5">
        <v>30999</v>
      </c>
      <c r="H5">
        <v>23</v>
      </c>
      <c r="I5">
        <v>4.3</v>
      </c>
      <c r="J5">
        <v>32</v>
      </c>
      <c r="K5" t="s">
        <v>16</v>
      </c>
      <c r="L5">
        <v>137.6</v>
      </c>
      <c r="M5">
        <v>2982.375</v>
      </c>
      <c r="N5" t="s">
        <v>31</v>
      </c>
      <c r="S5" s="1" t="s">
        <v>690</v>
      </c>
      <c r="T5" s="2">
        <f>CORREL(H2:H449,L2:L449)</f>
        <v>-7.7438711791532307E-3</v>
      </c>
      <c r="U5" s="2" t="s">
        <v>689</v>
      </c>
    </row>
    <row r="6" spans="1:21" x14ac:dyDescent="0.3">
      <c r="A6" t="s">
        <v>18</v>
      </c>
      <c r="B6" t="s">
        <v>32</v>
      </c>
      <c r="C6">
        <v>8</v>
      </c>
      <c r="D6">
        <v>256</v>
      </c>
      <c r="E6">
        <v>5500</v>
      </c>
      <c r="F6">
        <v>35999</v>
      </c>
      <c r="G6">
        <v>40999</v>
      </c>
      <c r="H6">
        <v>12</v>
      </c>
      <c r="I6">
        <v>4.5</v>
      </c>
      <c r="J6">
        <v>540</v>
      </c>
      <c r="K6" t="s">
        <v>16</v>
      </c>
      <c r="L6">
        <v>2430</v>
      </c>
      <c r="M6">
        <v>4499.875</v>
      </c>
      <c r="N6" t="s">
        <v>33</v>
      </c>
      <c r="S6" s="6"/>
    </row>
    <row r="7" spans="1:21" x14ac:dyDescent="0.3">
      <c r="A7" t="s">
        <v>14</v>
      </c>
      <c r="B7" t="s">
        <v>15</v>
      </c>
      <c r="C7">
        <v>6</v>
      </c>
      <c r="D7">
        <v>128</v>
      </c>
      <c r="E7">
        <v>5000</v>
      </c>
      <c r="F7">
        <v>14499</v>
      </c>
      <c r="G7">
        <v>18999</v>
      </c>
      <c r="H7">
        <v>23</v>
      </c>
      <c r="I7">
        <v>4.2</v>
      </c>
      <c r="J7">
        <v>223</v>
      </c>
      <c r="K7" t="s">
        <v>34</v>
      </c>
      <c r="L7">
        <v>936.6</v>
      </c>
      <c r="M7">
        <v>2416.5</v>
      </c>
      <c r="N7" t="s">
        <v>35</v>
      </c>
    </row>
    <row r="8" spans="1:21" x14ac:dyDescent="0.3">
      <c r="A8" t="s">
        <v>14</v>
      </c>
      <c r="B8" t="s">
        <v>36</v>
      </c>
      <c r="C8">
        <v>12</v>
      </c>
      <c r="D8">
        <v>256</v>
      </c>
      <c r="E8">
        <v>5000</v>
      </c>
      <c r="F8">
        <v>109999</v>
      </c>
      <c r="G8">
        <v>134999</v>
      </c>
      <c r="H8">
        <v>18</v>
      </c>
      <c r="I8">
        <v>4.5999999999999996</v>
      </c>
      <c r="J8">
        <v>580</v>
      </c>
      <c r="K8" t="s">
        <v>20</v>
      </c>
      <c r="L8">
        <v>2668</v>
      </c>
      <c r="M8">
        <v>9166.5833333333303</v>
      </c>
      <c r="N8" t="s">
        <v>37</v>
      </c>
    </row>
    <row r="9" spans="1:21" x14ac:dyDescent="0.3">
      <c r="A9" t="s">
        <v>38</v>
      </c>
      <c r="B9" t="s">
        <v>39</v>
      </c>
      <c r="C9">
        <v>6</v>
      </c>
      <c r="D9">
        <v>128</v>
      </c>
      <c r="E9">
        <v>7000</v>
      </c>
      <c r="F9">
        <v>16065</v>
      </c>
      <c r="G9">
        <v>16999</v>
      </c>
      <c r="H9">
        <v>5</v>
      </c>
      <c r="I9">
        <v>4.4000000000000004</v>
      </c>
      <c r="J9">
        <v>77</v>
      </c>
      <c r="K9" t="s">
        <v>16</v>
      </c>
      <c r="L9">
        <v>338.8</v>
      </c>
      <c r="M9">
        <v>2677.5</v>
      </c>
      <c r="N9" t="s">
        <v>40</v>
      </c>
    </row>
    <row r="10" spans="1:21" x14ac:dyDescent="0.3">
      <c r="A10" t="s">
        <v>18</v>
      </c>
      <c r="B10" t="s">
        <v>19</v>
      </c>
      <c r="C10">
        <v>12</v>
      </c>
      <c r="D10">
        <v>256</v>
      </c>
      <c r="E10">
        <v>6200</v>
      </c>
      <c r="F10">
        <v>59999</v>
      </c>
      <c r="G10">
        <v>79999</v>
      </c>
      <c r="H10">
        <v>25</v>
      </c>
      <c r="I10">
        <v>4.7</v>
      </c>
      <c r="J10">
        <v>144</v>
      </c>
      <c r="K10" t="s">
        <v>20</v>
      </c>
      <c r="L10">
        <v>676.8</v>
      </c>
      <c r="M10">
        <v>4999.9166666666597</v>
      </c>
      <c r="N10" t="s">
        <v>41</v>
      </c>
    </row>
    <row r="11" spans="1:21" x14ac:dyDescent="0.3">
      <c r="A11" t="s">
        <v>38</v>
      </c>
      <c r="B11" t="s">
        <v>42</v>
      </c>
      <c r="C11">
        <v>12</v>
      </c>
      <c r="D11">
        <v>256</v>
      </c>
      <c r="E11">
        <v>6000</v>
      </c>
      <c r="F11">
        <v>26999</v>
      </c>
      <c r="G11">
        <v>35999</v>
      </c>
      <c r="H11">
        <v>25</v>
      </c>
      <c r="I11">
        <v>4.5</v>
      </c>
      <c r="J11">
        <v>387</v>
      </c>
      <c r="K11" t="s">
        <v>16</v>
      </c>
      <c r="L11">
        <v>1741.5</v>
      </c>
      <c r="M11">
        <v>2249.9166666666601</v>
      </c>
      <c r="N11" t="s">
        <v>43</v>
      </c>
    </row>
    <row r="12" spans="1:21" x14ac:dyDescent="0.3">
      <c r="A12" t="s">
        <v>44</v>
      </c>
      <c r="B12" t="s">
        <v>45</v>
      </c>
      <c r="C12">
        <v>12</v>
      </c>
      <c r="D12">
        <v>256</v>
      </c>
      <c r="E12">
        <v>7000</v>
      </c>
      <c r="F12">
        <v>40999</v>
      </c>
      <c r="G12">
        <v>46999</v>
      </c>
      <c r="H12">
        <v>12</v>
      </c>
      <c r="I12">
        <v>4.2</v>
      </c>
      <c r="J12">
        <v>7</v>
      </c>
      <c r="K12" t="s">
        <v>20</v>
      </c>
      <c r="L12">
        <v>29.4</v>
      </c>
      <c r="M12">
        <v>3416.5833333333298</v>
      </c>
      <c r="N12" t="s">
        <v>46</v>
      </c>
    </row>
    <row r="13" spans="1:21" x14ac:dyDescent="0.3">
      <c r="A13" t="s">
        <v>38</v>
      </c>
      <c r="B13" t="s">
        <v>47</v>
      </c>
      <c r="C13">
        <v>8</v>
      </c>
      <c r="D13">
        <v>128</v>
      </c>
      <c r="E13">
        <v>6000</v>
      </c>
      <c r="F13">
        <v>15999</v>
      </c>
      <c r="G13">
        <v>17999</v>
      </c>
      <c r="H13">
        <v>11</v>
      </c>
      <c r="I13">
        <v>4.4000000000000004</v>
      </c>
      <c r="J13">
        <v>428</v>
      </c>
      <c r="K13" t="s">
        <v>16</v>
      </c>
      <c r="L13">
        <v>1883.2</v>
      </c>
      <c r="M13">
        <v>1999.875</v>
      </c>
      <c r="N13" t="s">
        <v>48</v>
      </c>
    </row>
    <row r="14" spans="1:21" x14ac:dyDescent="0.3">
      <c r="A14" t="s">
        <v>18</v>
      </c>
      <c r="B14" t="s">
        <v>32</v>
      </c>
      <c r="C14">
        <v>12</v>
      </c>
      <c r="D14">
        <v>512</v>
      </c>
      <c r="E14">
        <v>5500</v>
      </c>
      <c r="F14">
        <v>39999</v>
      </c>
      <c r="G14">
        <v>44999</v>
      </c>
      <c r="H14">
        <v>11</v>
      </c>
      <c r="I14">
        <v>4.5</v>
      </c>
      <c r="J14">
        <v>383</v>
      </c>
      <c r="K14" t="s">
        <v>16</v>
      </c>
      <c r="L14">
        <v>1723.5</v>
      </c>
      <c r="M14">
        <v>3333.25</v>
      </c>
      <c r="N14" t="s">
        <v>49</v>
      </c>
    </row>
    <row r="15" spans="1:21" x14ac:dyDescent="0.3">
      <c r="A15" t="s">
        <v>38</v>
      </c>
      <c r="B15" t="s">
        <v>50</v>
      </c>
      <c r="C15">
        <v>8</v>
      </c>
      <c r="D15">
        <v>128</v>
      </c>
      <c r="E15">
        <v>6000</v>
      </c>
      <c r="F15">
        <v>22998</v>
      </c>
      <c r="G15">
        <v>23999</v>
      </c>
      <c r="H15">
        <v>4</v>
      </c>
      <c r="I15">
        <v>4.5</v>
      </c>
      <c r="J15">
        <v>51</v>
      </c>
      <c r="K15" t="s">
        <v>16</v>
      </c>
      <c r="L15">
        <v>229.5</v>
      </c>
      <c r="M15">
        <v>2874.75</v>
      </c>
      <c r="N15" t="s">
        <v>51</v>
      </c>
    </row>
    <row r="16" spans="1:21" x14ac:dyDescent="0.3">
      <c r="A16" t="s">
        <v>38</v>
      </c>
      <c r="B16" t="s">
        <v>52</v>
      </c>
      <c r="C16">
        <v>12</v>
      </c>
      <c r="D16">
        <v>256</v>
      </c>
      <c r="E16">
        <v>7000</v>
      </c>
      <c r="F16">
        <v>39999</v>
      </c>
      <c r="G16" t="s">
        <v>26</v>
      </c>
      <c r="H16" t="s">
        <v>27</v>
      </c>
      <c r="I16">
        <v>4.5</v>
      </c>
      <c r="J16">
        <v>54</v>
      </c>
      <c r="K16" t="s">
        <v>16</v>
      </c>
      <c r="L16">
        <v>243</v>
      </c>
      <c r="M16">
        <v>3333.25</v>
      </c>
      <c r="N16" t="s">
        <v>53</v>
      </c>
    </row>
    <row r="17" spans="1:14" x14ac:dyDescent="0.3">
      <c r="A17" t="s">
        <v>14</v>
      </c>
      <c r="B17" t="s">
        <v>54</v>
      </c>
      <c r="C17">
        <v>8</v>
      </c>
      <c r="D17">
        <v>256</v>
      </c>
      <c r="E17">
        <v>5000</v>
      </c>
      <c r="F17">
        <v>25930</v>
      </c>
      <c r="G17">
        <v>30999</v>
      </c>
      <c r="H17">
        <v>16</v>
      </c>
      <c r="I17">
        <v>4.4000000000000004</v>
      </c>
      <c r="J17">
        <v>76</v>
      </c>
      <c r="K17" t="s">
        <v>16</v>
      </c>
      <c r="L17">
        <v>334.4</v>
      </c>
      <c r="M17">
        <v>3241.25</v>
      </c>
      <c r="N17" t="s">
        <v>55</v>
      </c>
    </row>
    <row r="18" spans="1:14" x14ac:dyDescent="0.3">
      <c r="A18" t="s">
        <v>14</v>
      </c>
      <c r="B18" t="s">
        <v>56</v>
      </c>
      <c r="C18">
        <v>8</v>
      </c>
      <c r="D18">
        <v>128</v>
      </c>
      <c r="E18">
        <v>4000</v>
      </c>
      <c r="F18">
        <v>49999</v>
      </c>
      <c r="G18">
        <v>74999</v>
      </c>
      <c r="H18">
        <v>33</v>
      </c>
      <c r="I18">
        <v>4.5999999999999996</v>
      </c>
      <c r="J18">
        <v>3540</v>
      </c>
      <c r="K18" t="s">
        <v>20</v>
      </c>
      <c r="L18">
        <v>16283.9999999999</v>
      </c>
      <c r="M18">
        <v>6249.875</v>
      </c>
      <c r="N18" t="s">
        <v>57</v>
      </c>
    </row>
    <row r="19" spans="1:14" x14ac:dyDescent="0.3">
      <c r="A19" t="s">
        <v>22</v>
      </c>
      <c r="B19" t="s">
        <v>58</v>
      </c>
      <c r="C19" t="s">
        <v>24</v>
      </c>
      <c r="D19">
        <v>256</v>
      </c>
      <c r="E19" t="s">
        <v>25</v>
      </c>
      <c r="F19">
        <v>74900</v>
      </c>
      <c r="G19">
        <v>79900</v>
      </c>
      <c r="H19">
        <v>6</v>
      </c>
      <c r="I19">
        <v>4.5999999999999996</v>
      </c>
      <c r="J19">
        <v>6925</v>
      </c>
      <c r="K19" t="s">
        <v>20</v>
      </c>
      <c r="L19">
        <v>31855</v>
      </c>
      <c r="M19">
        <v>0</v>
      </c>
      <c r="N19" t="s">
        <v>59</v>
      </c>
    </row>
    <row r="20" spans="1:14" x14ac:dyDescent="0.3">
      <c r="A20" t="s">
        <v>18</v>
      </c>
      <c r="B20" t="s">
        <v>32</v>
      </c>
      <c r="C20">
        <v>12</v>
      </c>
      <c r="D20">
        <v>256</v>
      </c>
      <c r="E20">
        <v>5500</v>
      </c>
      <c r="F20">
        <v>37999</v>
      </c>
      <c r="G20">
        <v>42999</v>
      </c>
      <c r="H20">
        <v>11</v>
      </c>
      <c r="I20">
        <v>4.5</v>
      </c>
      <c r="J20">
        <v>383</v>
      </c>
      <c r="K20" t="s">
        <v>16</v>
      </c>
      <c r="L20">
        <v>1723.5</v>
      </c>
      <c r="M20">
        <v>3166.5833333333298</v>
      </c>
      <c r="N20" t="s">
        <v>60</v>
      </c>
    </row>
    <row r="21" spans="1:14" x14ac:dyDescent="0.3">
      <c r="A21" t="s">
        <v>14</v>
      </c>
      <c r="B21" t="s">
        <v>61</v>
      </c>
      <c r="C21">
        <v>12</v>
      </c>
      <c r="D21">
        <v>256</v>
      </c>
      <c r="E21">
        <v>4000</v>
      </c>
      <c r="F21">
        <v>72999</v>
      </c>
      <c r="G21">
        <v>109999</v>
      </c>
      <c r="H21">
        <v>33</v>
      </c>
      <c r="I21">
        <v>4.2</v>
      </c>
      <c r="J21">
        <v>19</v>
      </c>
      <c r="K21" t="s">
        <v>20</v>
      </c>
      <c r="L21">
        <v>79.8</v>
      </c>
      <c r="M21">
        <v>6083.25</v>
      </c>
      <c r="N21" t="s">
        <v>62</v>
      </c>
    </row>
    <row r="22" spans="1:14" x14ac:dyDescent="0.3">
      <c r="A22" t="s">
        <v>18</v>
      </c>
      <c r="B22" t="s">
        <v>63</v>
      </c>
      <c r="C22">
        <v>8</v>
      </c>
      <c r="D22">
        <v>256</v>
      </c>
      <c r="E22">
        <v>6500</v>
      </c>
      <c r="F22">
        <v>51999</v>
      </c>
      <c r="G22">
        <v>54999</v>
      </c>
      <c r="H22">
        <v>5</v>
      </c>
      <c r="I22">
        <v>4.5999999999999996</v>
      </c>
      <c r="J22">
        <v>23</v>
      </c>
      <c r="K22" t="s">
        <v>20</v>
      </c>
      <c r="L22">
        <v>105.8</v>
      </c>
      <c r="M22">
        <v>6499.875</v>
      </c>
      <c r="N22" t="s">
        <v>64</v>
      </c>
    </row>
    <row r="23" spans="1:14" x14ac:dyDescent="0.3">
      <c r="A23" t="s">
        <v>44</v>
      </c>
      <c r="B23" t="s">
        <v>65</v>
      </c>
      <c r="C23">
        <v>12</v>
      </c>
      <c r="D23">
        <v>512</v>
      </c>
      <c r="E23">
        <v>6200</v>
      </c>
      <c r="F23">
        <v>64999</v>
      </c>
      <c r="G23">
        <v>69999</v>
      </c>
      <c r="H23">
        <v>7</v>
      </c>
      <c r="I23">
        <v>4.5999999999999996</v>
      </c>
      <c r="J23">
        <v>83</v>
      </c>
      <c r="K23" t="s">
        <v>20</v>
      </c>
      <c r="L23">
        <v>381.8</v>
      </c>
      <c r="M23">
        <v>5416.5833333333303</v>
      </c>
      <c r="N23" t="s">
        <v>66</v>
      </c>
    </row>
    <row r="24" spans="1:14" x14ac:dyDescent="0.3">
      <c r="A24" t="s">
        <v>44</v>
      </c>
      <c r="B24" t="s">
        <v>65</v>
      </c>
      <c r="C24">
        <v>12</v>
      </c>
      <c r="D24">
        <v>256</v>
      </c>
      <c r="E24">
        <v>6200</v>
      </c>
      <c r="F24">
        <v>59999</v>
      </c>
      <c r="G24">
        <v>64999</v>
      </c>
      <c r="H24">
        <v>7</v>
      </c>
      <c r="I24">
        <v>4.5999999999999996</v>
      </c>
      <c r="J24">
        <v>83</v>
      </c>
      <c r="K24" t="s">
        <v>20</v>
      </c>
      <c r="L24">
        <v>381.8</v>
      </c>
      <c r="M24">
        <v>4999.9166666666597</v>
      </c>
      <c r="N24" t="s">
        <v>67</v>
      </c>
    </row>
    <row r="25" spans="1:14" x14ac:dyDescent="0.3">
      <c r="A25" t="s">
        <v>38</v>
      </c>
      <c r="B25" t="s">
        <v>68</v>
      </c>
      <c r="C25">
        <v>8</v>
      </c>
      <c r="D25">
        <v>128</v>
      </c>
      <c r="E25">
        <v>5000</v>
      </c>
      <c r="F25">
        <v>14999</v>
      </c>
      <c r="G25">
        <v>21999</v>
      </c>
      <c r="H25">
        <v>31</v>
      </c>
      <c r="I25">
        <v>4.4000000000000004</v>
      </c>
      <c r="J25">
        <v>2854</v>
      </c>
      <c r="K25" t="s">
        <v>34</v>
      </c>
      <c r="L25">
        <v>12557.6</v>
      </c>
      <c r="M25">
        <v>1874.875</v>
      </c>
      <c r="N25" t="s">
        <v>69</v>
      </c>
    </row>
    <row r="26" spans="1:14" x14ac:dyDescent="0.3">
      <c r="A26" t="s">
        <v>38</v>
      </c>
      <c r="B26" t="s">
        <v>70</v>
      </c>
      <c r="C26">
        <v>12</v>
      </c>
      <c r="D26">
        <v>256</v>
      </c>
      <c r="E26">
        <v>6000</v>
      </c>
      <c r="F26">
        <v>27899</v>
      </c>
      <c r="G26">
        <v>27999</v>
      </c>
      <c r="H26" t="s">
        <v>27</v>
      </c>
      <c r="I26">
        <v>4.5</v>
      </c>
      <c r="J26">
        <v>17</v>
      </c>
      <c r="K26" t="s">
        <v>16</v>
      </c>
      <c r="L26">
        <v>76.5</v>
      </c>
      <c r="M26">
        <v>2324.9166666666601</v>
      </c>
      <c r="N26" t="s">
        <v>71</v>
      </c>
    </row>
    <row r="27" spans="1:14" x14ac:dyDescent="0.3">
      <c r="A27" t="s">
        <v>38</v>
      </c>
      <c r="B27" t="s">
        <v>72</v>
      </c>
      <c r="C27">
        <v>8</v>
      </c>
      <c r="D27">
        <v>256</v>
      </c>
      <c r="E27">
        <v>5500</v>
      </c>
      <c r="F27">
        <v>27999</v>
      </c>
      <c r="G27">
        <v>43999</v>
      </c>
      <c r="H27">
        <v>36</v>
      </c>
      <c r="I27">
        <v>4.5</v>
      </c>
      <c r="J27">
        <v>414</v>
      </c>
      <c r="K27" t="s">
        <v>16</v>
      </c>
      <c r="L27">
        <v>1863</v>
      </c>
      <c r="M27">
        <v>3499.875</v>
      </c>
      <c r="N27" t="s">
        <v>73</v>
      </c>
    </row>
    <row r="28" spans="1:14" x14ac:dyDescent="0.3">
      <c r="A28" t="s">
        <v>38</v>
      </c>
      <c r="B28" t="s">
        <v>68</v>
      </c>
      <c r="C28">
        <v>6</v>
      </c>
      <c r="D28">
        <v>128</v>
      </c>
      <c r="E28">
        <v>5000</v>
      </c>
      <c r="F28">
        <v>13999</v>
      </c>
      <c r="G28">
        <v>20999</v>
      </c>
      <c r="H28">
        <v>33</v>
      </c>
      <c r="I28">
        <v>4.4000000000000004</v>
      </c>
      <c r="J28">
        <v>6312</v>
      </c>
      <c r="K28" t="s">
        <v>34</v>
      </c>
      <c r="L28">
        <v>27772.799999999999</v>
      </c>
      <c r="M28">
        <v>2333.1666666666601</v>
      </c>
      <c r="N28" t="s">
        <v>74</v>
      </c>
    </row>
    <row r="29" spans="1:14" x14ac:dyDescent="0.3">
      <c r="A29" t="s">
        <v>38</v>
      </c>
      <c r="B29" t="s">
        <v>68</v>
      </c>
      <c r="C29">
        <v>8</v>
      </c>
      <c r="D29">
        <v>256</v>
      </c>
      <c r="E29">
        <v>5000</v>
      </c>
      <c r="F29">
        <v>15999</v>
      </c>
      <c r="G29">
        <v>22999</v>
      </c>
      <c r="H29">
        <v>30</v>
      </c>
      <c r="I29">
        <v>4.4000000000000004</v>
      </c>
      <c r="J29">
        <v>2854</v>
      </c>
      <c r="K29" t="s">
        <v>16</v>
      </c>
      <c r="L29">
        <v>12557.6</v>
      </c>
      <c r="M29">
        <v>1999.875</v>
      </c>
      <c r="N29" t="s">
        <v>75</v>
      </c>
    </row>
    <row r="30" spans="1:14" x14ac:dyDescent="0.3">
      <c r="A30" t="s">
        <v>14</v>
      </c>
      <c r="B30" t="s">
        <v>76</v>
      </c>
      <c r="C30">
        <v>4</v>
      </c>
      <c r="D30">
        <v>128</v>
      </c>
      <c r="E30">
        <v>5000</v>
      </c>
      <c r="F30">
        <v>12499</v>
      </c>
      <c r="G30">
        <v>15999</v>
      </c>
      <c r="H30">
        <v>21</v>
      </c>
      <c r="I30">
        <v>4.0999999999999996</v>
      </c>
      <c r="J30">
        <v>269</v>
      </c>
      <c r="K30" t="s">
        <v>34</v>
      </c>
      <c r="L30">
        <v>1102.9000000000001</v>
      </c>
      <c r="M30">
        <v>3124.75</v>
      </c>
      <c r="N30" t="s">
        <v>77</v>
      </c>
    </row>
    <row r="31" spans="1:14" x14ac:dyDescent="0.3">
      <c r="A31" t="s">
        <v>18</v>
      </c>
      <c r="B31" t="s">
        <v>78</v>
      </c>
      <c r="C31">
        <v>6</v>
      </c>
      <c r="D31">
        <v>128</v>
      </c>
      <c r="E31">
        <v>5000</v>
      </c>
      <c r="F31">
        <v>15499</v>
      </c>
      <c r="G31">
        <v>19990</v>
      </c>
      <c r="H31">
        <v>22</v>
      </c>
      <c r="I31">
        <v>4.3</v>
      </c>
      <c r="J31">
        <v>109</v>
      </c>
      <c r="K31" t="s">
        <v>16</v>
      </c>
      <c r="L31">
        <v>468.7</v>
      </c>
      <c r="M31">
        <v>2583.1666666666601</v>
      </c>
      <c r="N31" t="s">
        <v>79</v>
      </c>
    </row>
    <row r="32" spans="1:14" x14ac:dyDescent="0.3">
      <c r="A32" t="s">
        <v>22</v>
      </c>
      <c r="B32" t="s">
        <v>80</v>
      </c>
      <c r="C32" t="s">
        <v>24</v>
      </c>
      <c r="D32">
        <v>128</v>
      </c>
      <c r="E32" t="s">
        <v>25</v>
      </c>
      <c r="F32">
        <v>34900</v>
      </c>
      <c r="G32" t="s">
        <v>26</v>
      </c>
      <c r="H32" t="s">
        <v>27</v>
      </c>
      <c r="I32">
        <v>4.5</v>
      </c>
      <c r="J32">
        <v>9100</v>
      </c>
      <c r="K32" t="s">
        <v>16</v>
      </c>
      <c r="L32">
        <v>40950</v>
      </c>
      <c r="M32">
        <v>0</v>
      </c>
      <c r="N32" t="s">
        <v>81</v>
      </c>
    </row>
    <row r="33" spans="1:14" x14ac:dyDescent="0.3">
      <c r="A33" t="s">
        <v>44</v>
      </c>
      <c r="B33" t="s">
        <v>82</v>
      </c>
      <c r="C33">
        <v>12</v>
      </c>
      <c r="D33">
        <v>256</v>
      </c>
      <c r="E33">
        <v>7025</v>
      </c>
      <c r="F33">
        <v>74999</v>
      </c>
      <c r="G33">
        <v>79999</v>
      </c>
      <c r="H33">
        <v>6</v>
      </c>
      <c r="I33">
        <v>4.5999999999999996</v>
      </c>
      <c r="J33">
        <v>76</v>
      </c>
      <c r="K33" t="s">
        <v>20</v>
      </c>
      <c r="L33">
        <v>349.6</v>
      </c>
      <c r="M33">
        <v>6249.9166666666597</v>
      </c>
      <c r="N33" t="s">
        <v>83</v>
      </c>
    </row>
    <row r="34" spans="1:14" x14ac:dyDescent="0.3">
      <c r="A34" t="s">
        <v>14</v>
      </c>
      <c r="B34" t="s">
        <v>84</v>
      </c>
      <c r="C34">
        <v>6</v>
      </c>
      <c r="D34">
        <v>128</v>
      </c>
      <c r="E34">
        <v>6000</v>
      </c>
      <c r="F34">
        <v>16999</v>
      </c>
      <c r="G34">
        <v>21499</v>
      </c>
      <c r="H34">
        <v>20</v>
      </c>
      <c r="I34">
        <v>4.5</v>
      </c>
      <c r="J34">
        <v>1</v>
      </c>
      <c r="K34" t="s">
        <v>16</v>
      </c>
      <c r="L34">
        <v>4.5</v>
      </c>
      <c r="M34">
        <v>2833.1666666666601</v>
      </c>
      <c r="N34" t="s">
        <v>85</v>
      </c>
    </row>
    <row r="35" spans="1:14" x14ac:dyDescent="0.3">
      <c r="A35" t="s">
        <v>14</v>
      </c>
      <c r="B35" t="s">
        <v>86</v>
      </c>
      <c r="C35">
        <v>3</v>
      </c>
      <c r="D35">
        <v>32</v>
      </c>
      <c r="E35">
        <v>5000</v>
      </c>
      <c r="F35">
        <v>10063</v>
      </c>
      <c r="G35">
        <v>10499</v>
      </c>
      <c r="H35">
        <v>4</v>
      </c>
      <c r="I35">
        <v>4.2</v>
      </c>
      <c r="J35">
        <v>79</v>
      </c>
      <c r="K35" t="s">
        <v>34</v>
      </c>
      <c r="L35">
        <v>331.8</v>
      </c>
      <c r="M35">
        <v>3354.3333333333298</v>
      </c>
      <c r="N35" t="s">
        <v>87</v>
      </c>
    </row>
    <row r="36" spans="1:14" x14ac:dyDescent="0.3">
      <c r="A36" t="s">
        <v>38</v>
      </c>
      <c r="B36" t="s">
        <v>88</v>
      </c>
      <c r="C36">
        <v>6</v>
      </c>
      <c r="D36">
        <v>128</v>
      </c>
      <c r="E36">
        <v>5000</v>
      </c>
      <c r="F36">
        <v>12499</v>
      </c>
      <c r="G36">
        <v>17999</v>
      </c>
      <c r="H36">
        <v>30</v>
      </c>
      <c r="I36">
        <v>4.4000000000000004</v>
      </c>
      <c r="J36">
        <v>4975</v>
      </c>
      <c r="K36" t="s">
        <v>34</v>
      </c>
      <c r="L36">
        <v>21890</v>
      </c>
      <c r="M36">
        <v>2083.1666666666601</v>
      </c>
      <c r="N36" t="s">
        <v>89</v>
      </c>
    </row>
    <row r="37" spans="1:14" x14ac:dyDescent="0.3">
      <c r="A37" t="s">
        <v>14</v>
      </c>
      <c r="B37" t="s">
        <v>90</v>
      </c>
      <c r="C37">
        <v>12</v>
      </c>
      <c r="D37">
        <v>512</v>
      </c>
      <c r="E37">
        <v>5000</v>
      </c>
      <c r="F37">
        <v>141999</v>
      </c>
      <c r="G37" t="s">
        <v>26</v>
      </c>
      <c r="H37" t="s">
        <v>27</v>
      </c>
      <c r="I37">
        <v>4.5999999999999996</v>
      </c>
      <c r="J37">
        <v>275</v>
      </c>
      <c r="K37" t="s">
        <v>20</v>
      </c>
      <c r="L37">
        <v>1265</v>
      </c>
      <c r="M37">
        <v>11833.25</v>
      </c>
      <c r="N37" t="s">
        <v>91</v>
      </c>
    </row>
    <row r="38" spans="1:14" x14ac:dyDescent="0.3">
      <c r="A38" t="s">
        <v>38</v>
      </c>
      <c r="B38" t="s">
        <v>88</v>
      </c>
      <c r="C38">
        <v>8</v>
      </c>
      <c r="D38">
        <v>128</v>
      </c>
      <c r="E38">
        <v>5000</v>
      </c>
      <c r="F38">
        <v>13499</v>
      </c>
      <c r="G38">
        <v>18999</v>
      </c>
      <c r="H38">
        <v>28</v>
      </c>
      <c r="I38">
        <v>4.4000000000000004</v>
      </c>
      <c r="J38">
        <v>2004</v>
      </c>
      <c r="K38" t="s">
        <v>34</v>
      </c>
      <c r="L38">
        <v>8817.6</v>
      </c>
      <c r="M38">
        <v>1687.375</v>
      </c>
      <c r="N38" t="s">
        <v>92</v>
      </c>
    </row>
    <row r="39" spans="1:14" x14ac:dyDescent="0.3">
      <c r="A39" t="s">
        <v>22</v>
      </c>
      <c r="B39" t="s">
        <v>93</v>
      </c>
      <c r="C39" t="s">
        <v>24</v>
      </c>
      <c r="D39">
        <v>256</v>
      </c>
      <c r="E39" t="s">
        <v>25</v>
      </c>
      <c r="F39">
        <v>121300</v>
      </c>
      <c r="G39" t="s">
        <v>26</v>
      </c>
      <c r="H39" t="s">
        <v>27</v>
      </c>
      <c r="I39">
        <v>4.5999999999999996</v>
      </c>
      <c r="J39">
        <v>618</v>
      </c>
      <c r="K39" t="s">
        <v>20</v>
      </c>
      <c r="L39">
        <v>2842.8</v>
      </c>
      <c r="M39">
        <v>0</v>
      </c>
      <c r="N39" t="s">
        <v>94</v>
      </c>
    </row>
    <row r="40" spans="1:14" x14ac:dyDescent="0.3">
      <c r="A40" t="s">
        <v>29</v>
      </c>
      <c r="B40" t="s">
        <v>95</v>
      </c>
      <c r="C40">
        <v>8</v>
      </c>
      <c r="D40">
        <v>256</v>
      </c>
      <c r="E40">
        <v>6580</v>
      </c>
      <c r="F40">
        <v>31988</v>
      </c>
      <c r="G40">
        <v>34999</v>
      </c>
      <c r="H40">
        <v>8</v>
      </c>
      <c r="I40">
        <v>4.3</v>
      </c>
      <c r="J40">
        <v>4</v>
      </c>
      <c r="K40" t="s">
        <v>16</v>
      </c>
      <c r="L40">
        <v>17.2</v>
      </c>
      <c r="M40">
        <v>3998.5</v>
      </c>
      <c r="N40" t="s">
        <v>96</v>
      </c>
    </row>
    <row r="41" spans="1:14" x14ac:dyDescent="0.3">
      <c r="A41" t="s">
        <v>14</v>
      </c>
      <c r="B41" t="s">
        <v>97</v>
      </c>
      <c r="C41">
        <v>8</v>
      </c>
      <c r="D41">
        <v>128</v>
      </c>
      <c r="E41">
        <v>4000</v>
      </c>
      <c r="F41">
        <v>22500</v>
      </c>
      <c r="G41">
        <v>29999</v>
      </c>
      <c r="H41">
        <v>24</v>
      </c>
      <c r="I41">
        <v>4.3</v>
      </c>
      <c r="J41">
        <v>499</v>
      </c>
      <c r="K41" t="s">
        <v>16</v>
      </c>
      <c r="L41">
        <v>2145.6999999999998</v>
      </c>
      <c r="M41">
        <v>2812.5</v>
      </c>
      <c r="N41" t="s">
        <v>98</v>
      </c>
    </row>
    <row r="42" spans="1:14" x14ac:dyDescent="0.3">
      <c r="A42" t="s">
        <v>14</v>
      </c>
      <c r="B42" t="s">
        <v>99</v>
      </c>
      <c r="C42">
        <v>4</v>
      </c>
      <c r="D42">
        <v>128</v>
      </c>
      <c r="E42">
        <v>5000</v>
      </c>
      <c r="F42">
        <v>12525</v>
      </c>
      <c r="G42">
        <v>15499</v>
      </c>
      <c r="H42">
        <v>19</v>
      </c>
      <c r="I42">
        <v>4.0999999999999996</v>
      </c>
      <c r="J42">
        <v>192</v>
      </c>
      <c r="K42" t="s">
        <v>34</v>
      </c>
      <c r="L42">
        <v>787.19999999999902</v>
      </c>
      <c r="M42">
        <v>3131.25</v>
      </c>
      <c r="N42" t="s">
        <v>100</v>
      </c>
    </row>
    <row r="43" spans="1:14" x14ac:dyDescent="0.3">
      <c r="A43" t="s">
        <v>18</v>
      </c>
      <c r="B43" t="s">
        <v>101</v>
      </c>
      <c r="C43">
        <v>8</v>
      </c>
      <c r="D43">
        <v>256</v>
      </c>
      <c r="E43">
        <v>7300</v>
      </c>
      <c r="F43">
        <v>26999</v>
      </c>
      <c r="G43">
        <v>27999</v>
      </c>
      <c r="H43">
        <v>3</v>
      </c>
      <c r="I43">
        <v>4.5</v>
      </c>
      <c r="J43">
        <v>4449</v>
      </c>
      <c r="K43" t="s">
        <v>16</v>
      </c>
      <c r="L43">
        <v>20020.5</v>
      </c>
      <c r="M43">
        <v>3374.875</v>
      </c>
      <c r="N43" t="s">
        <v>102</v>
      </c>
    </row>
    <row r="44" spans="1:14" x14ac:dyDescent="0.3">
      <c r="A44" t="s">
        <v>14</v>
      </c>
      <c r="B44" t="s">
        <v>103</v>
      </c>
      <c r="C44">
        <v>4</v>
      </c>
      <c r="D44">
        <v>128</v>
      </c>
      <c r="E44">
        <v>6000</v>
      </c>
      <c r="F44">
        <v>13999</v>
      </c>
      <c r="G44">
        <v>16999</v>
      </c>
      <c r="H44">
        <v>17</v>
      </c>
      <c r="I44">
        <v>4.2</v>
      </c>
      <c r="J44">
        <v>27</v>
      </c>
      <c r="K44" t="s">
        <v>34</v>
      </c>
      <c r="L44">
        <v>113.4</v>
      </c>
      <c r="M44">
        <v>3499.75</v>
      </c>
      <c r="N44" t="s">
        <v>104</v>
      </c>
    </row>
    <row r="45" spans="1:14" x14ac:dyDescent="0.3">
      <c r="A45" t="s">
        <v>29</v>
      </c>
      <c r="B45" t="s">
        <v>105</v>
      </c>
      <c r="C45">
        <v>6</v>
      </c>
      <c r="D45">
        <v>128</v>
      </c>
      <c r="E45">
        <v>7000</v>
      </c>
      <c r="F45">
        <v>16460</v>
      </c>
      <c r="G45">
        <v>16999</v>
      </c>
      <c r="H45">
        <v>3</v>
      </c>
      <c r="I45">
        <v>4.3</v>
      </c>
      <c r="J45">
        <v>101</v>
      </c>
      <c r="K45" t="s">
        <v>16</v>
      </c>
      <c r="L45">
        <v>434.3</v>
      </c>
      <c r="M45">
        <v>2743.3333333333298</v>
      </c>
      <c r="N45" t="s">
        <v>106</v>
      </c>
    </row>
    <row r="46" spans="1:14" x14ac:dyDescent="0.3">
      <c r="A46" t="s">
        <v>38</v>
      </c>
      <c r="B46" t="s">
        <v>107</v>
      </c>
      <c r="C46">
        <v>8</v>
      </c>
      <c r="D46">
        <v>256</v>
      </c>
      <c r="E46">
        <v>6000</v>
      </c>
      <c r="F46">
        <v>31999</v>
      </c>
      <c r="G46">
        <v>35999</v>
      </c>
      <c r="H46">
        <v>11</v>
      </c>
      <c r="I46">
        <v>4.4000000000000004</v>
      </c>
      <c r="J46">
        <v>2315</v>
      </c>
      <c r="K46" t="s">
        <v>16</v>
      </c>
      <c r="L46">
        <v>10186</v>
      </c>
      <c r="M46">
        <v>3999.875</v>
      </c>
      <c r="N46" t="s">
        <v>108</v>
      </c>
    </row>
    <row r="47" spans="1:14" x14ac:dyDescent="0.3">
      <c r="A47" t="s">
        <v>18</v>
      </c>
      <c r="B47" t="s">
        <v>101</v>
      </c>
      <c r="C47">
        <v>12</v>
      </c>
      <c r="D47">
        <v>256</v>
      </c>
      <c r="E47">
        <v>7300</v>
      </c>
      <c r="F47">
        <v>28999</v>
      </c>
      <c r="G47">
        <v>29999</v>
      </c>
      <c r="H47">
        <v>3</v>
      </c>
      <c r="I47">
        <v>4.5</v>
      </c>
      <c r="J47">
        <v>1321</v>
      </c>
      <c r="K47" t="s">
        <v>16</v>
      </c>
      <c r="L47">
        <v>5944.5</v>
      </c>
      <c r="M47">
        <v>2416.5833333333298</v>
      </c>
      <c r="N47" t="s">
        <v>102</v>
      </c>
    </row>
    <row r="48" spans="1:14" x14ac:dyDescent="0.3">
      <c r="A48" t="s">
        <v>14</v>
      </c>
      <c r="B48" t="s">
        <v>109</v>
      </c>
      <c r="C48">
        <v>8</v>
      </c>
      <c r="D48">
        <v>256</v>
      </c>
      <c r="E48">
        <v>5000</v>
      </c>
      <c r="F48">
        <v>25499</v>
      </c>
      <c r="G48" t="s">
        <v>26</v>
      </c>
      <c r="H48" t="s">
        <v>27</v>
      </c>
      <c r="I48">
        <v>4.3</v>
      </c>
      <c r="J48">
        <v>45</v>
      </c>
      <c r="K48" t="s">
        <v>16</v>
      </c>
      <c r="L48">
        <v>193.5</v>
      </c>
      <c r="M48">
        <v>3187.375</v>
      </c>
      <c r="N48" t="s">
        <v>110</v>
      </c>
    </row>
    <row r="49" spans="1:14" x14ac:dyDescent="0.3">
      <c r="A49" t="s">
        <v>14</v>
      </c>
      <c r="B49" t="s">
        <v>109</v>
      </c>
      <c r="C49">
        <v>8</v>
      </c>
      <c r="D49">
        <v>128</v>
      </c>
      <c r="E49">
        <v>5000</v>
      </c>
      <c r="F49">
        <v>22499</v>
      </c>
      <c r="G49" t="s">
        <v>26</v>
      </c>
      <c r="H49" t="s">
        <v>27</v>
      </c>
      <c r="I49">
        <v>4.3</v>
      </c>
      <c r="J49">
        <v>45</v>
      </c>
      <c r="K49" t="s">
        <v>16</v>
      </c>
      <c r="L49">
        <v>193.5</v>
      </c>
      <c r="M49">
        <v>2812.375</v>
      </c>
      <c r="N49" t="s">
        <v>111</v>
      </c>
    </row>
    <row r="50" spans="1:14" x14ac:dyDescent="0.3">
      <c r="A50" t="s">
        <v>38</v>
      </c>
      <c r="B50" t="s">
        <v>112</v>
      </c>
      <c r="C50">
        <v>8</v>
      </c>
      <c r="D50">
        <v>256</v>
      </c>
      <c r="E50">
        <v>7000</v>
      </c>
      <c r="F50">
        <v>20999</v>
      </c>
      <c r="G50" t="s">
        <v>26</v>
      </c>
      <c r="H50" t="s">
        <v>27</v>
      </c>
      <c r="I50">
        <v>4.4000000000000004</v>
      </c>
      <c r="J50">
        <v>255</v>
      </c>
      <c r="K50" t="s">
        <v>16</v>
      </c>
      <c r="L50">
        <v>1122</v>
      </c>
      <c r="M50">
        <v>2624.875</v>
      </c>
      <c r="N50" t="s">
        <v>113</v>
      </c>
    </row>
    <row r="51" spans="1:14" x14ac:dyDescent="0.3">
      <c r="A51" t="s">
        <v>38</v>
      </c>
      <c r="B51" t="s">
        <v>114</v>
      </c>
      <c r="C51">
        <v>6</v>
      </c>
      <c r="D51">
        <v>128</v>
      </c>
      <c r="E51">
        <v>7000</v>
      </c>
      <c r="F51">
        <v>19999</v>
      </c>
      <c r="G51">
        <v>20999</v>
      </c>
      <c r="H51">
        <v>4</v>
      </c>
      <c r="I51">
        <v>4.4000000000000004</v>
      </c>
      <c r="J51">
        <v>1377</v>
      </c>
      <c r="K51" t="s">
        <v>16</v>
      </c>
      <c r="L51">
        <v>6058.8</v>
      </c>
      <c r="M51">
        <v>3333.1666666666601</v>
      </c>
      <c r="N51" t="s">
        <v>115</v>
      </c>
    </row>
    <row r="52" spans="1:14" x14ac:dyDescent="0.3">
      <c r="A52" t="s">
        <v>14</v>
      </c>
      <c r="B52" t="s">
        <v>76</v>
      </c>
      <c r="C52">
        <v>8</v>
      </c>
      <c r="D52">
        <v>128</v>
      </c>
      <c r="E52">
        <v>5000</v>
      </c>
      <c r="F52">
        <v>15499</v>
      </c>
      <c r="G52">
        <v>18999</v>
      </c>
      <c r="H52">
        <v>18</v>
      </c>
      <c r="I52">
        <v>4.2</v>
      </c>
      <c r="J52">
        <v>225</v>
      </c>
      <c r="K52" t="s">
        <v>16</v>
      </c>
      <c r="L52">
        <v>945</v>
      </c>
      <c r="M52">
        <v>1937.375</v>
      </c>
      <c r="N52" t="s">
        <v>116</v>
      </c>
    </row>
    <row r="53" spans="1:14" x14ac:dyDescent="0.3">
      <c r="A53" t="s">
        <v>38</v>
      </c>
      <c r="B53" t="s">
        <v>114</v>
      </c>
      <c r="C53">
        <v>8</v>
      </c>
      <c r="D53">
        <v>128</v>
      </c>
      <c r="E53">
        <v>7000</v>
      </c>
      <c r="F53">
        <v>21999</v>
      </c>
      <c r="G53" t="s">
        <v>26</v>
      </c>
      <c r="H53" t="s">
        <v>27</v>
      </c>
      <c r="I53">
        <v>4.4000000000000004</v>
      </c>
      <c r="J53">
        <v>1068</v>
      </c>
      <c r="K53" t="s">
        <v>16</v>
      </c>
      <c r="L53">
        <v>4699.2</v>
      </c>
      <c r="M53">
        <v>2749.875</v>
      </c>
      <c r="N53" t="s">
        <v>117</v>
      </c>
    </row>
    <row r="54" spans="1:14" x14ac:dyDescent="0.3">
      <c r="A54" t="s">
        <v>14</v>
      </c>
      <c r="B54" t="s">
        <v>118</v>
      </c>
      <c r="C54">
        <v>12</v>
      </c>
      <c r="D54">
        <v>256</v>
      </c>
      <c r="E54">
        <v>4400</v>
      </c>
      <c r="F54">
        <v>174999</v>
      </c>
      <c r="G54" t="s">
        <v>26</v>
      </c>
      <c r="H54" t="s">
        <v>27</v>
      </c>
      <c r="I54">
        <v>4.5</v>
      </c>
      <c r="J54">
        <v>5</v>
      </c>
      <c r="K54" t="s">
        <v>20</v>
      </c>
      <c r="L54">
        <v>22.5</v>
      </c>
      <c r="M54">
        <v>14583.25</v>
      </c>
      <c r="N54" t="s">
        <v>119</v>
      </c>
    </row>
    <row r="55" spans="1:14" x14ac:dyDescent="0.3">
      <c r="A55" t="s">
        <v>22</v>
      </c>
      <c r="B55" t="s">
        <v>120</v>
      </c>
      <c r="C55" t="s">
        <v>24</v>
      </c>
      <c r="D55">
        <v>512</v>
      </c>
      <c r="E55" t="s">
        <v>25</v>
      </c>
      <c r="F55">
        <v>154900</v>
      </c>
      <c r="G55" t="s">
        <v>26</v>
      </c>
      <c r="H55" t="s">
        <v>27</v>
      </c>
      <c r="I55">
        <v>4.7</v>
      </c>
      <c r="J55">
        <v>72</v>
      </c>
      <c r="K55" t="s">
        <v>20</v>
      </c>
      <c r="L55">
        <v>338.4</v>
      </c>
      <c r="M55">
        <v>0</v>
      </c>
      <c r="N55" t="s">
        <v>121</v>
      </c>
    </row>
    <row r="56" spans="1:14" x14ac:dyDescent="0.3">
      <c r="A56" t="s">
        <v>44</v>
      </c>
      <c r="B56" t="s">
        <v>122</v>
      </c>
      <c r="C56">
        <v>4</v>
      </c>
      <c r="D56">
        <v>64</v>
      </c>
      <c r="E56">
        <v>6500</v>
      </c>
      <c r="F56">
        <v>10999</v>
      </c>
      <c r="G56">
        <v>12999</v>
      </c>
      <c r="H56">
        <v>15</v>
      </c>
      <c r="I56">
        <v>4.3</v>
      </c>
      <c r="J56">
        <v>1</v>
      </c>
      <c r="K56" t="s">
        <v>34</v>
      </c>
      <c r="L56">
        <v>4.3</v>
      </c>
      <c r="M56">
        <v>2749.75</v>
      </c>
      <c r="N56" t="s">
        <v>123</v>
      </c>
    </row>
    <row r="57" spans="1:14" x14ac:dyDescent="0.3">
      <c r="A57" t="s">
        <v>14</v>
      </c>
      <c r="B57" t="s">
        <v>109</v>
      </c>
      <c r="C57">
        <v>6</v>
      </c>
      <c r="D57">
        <v>128</v>
      </c>
      <c r="E57">
        <v>5000</v>
      </c>
      <c r="F57">
        <v>20499</v>
      </c>
      <c r="G57">
        <v>20999</v>
      </c>
      <c r="H57">
        <v>2</v>
      </c>
      <c r="I57">
        <v>4.4000000000000004</v>
      </c>
      <c r="J57">
        <v>32</v>
      </c>
      <c r="K57" t="s">
        <v>16</v>
      </c>
      <c r="L57">
        <v>140.80000000000001</v>
      </c>
      <c r="M57">
        <v>3416.5</v>
      </c>
      <c r="N57" t="s">
        <v>124</v>
      </c>
    </row>
    <row r="58" spans="1:14" x14ac:dyDescent="0.3">
      <c r="A58" t="s">
        <v>38</v>
      </c>
      <c r="B58" t="s">
        <v>47</v>
      </c>
      <c r="C58">
        <v>6</v>
      </c>
      <c r="D58">
        <v>128</v>
      </c>
      <c r="E58">
        <v>6000</v>
      </c>
      <c r="F58">
        <v>14999</v>
      </c>
      <c r="G58">
        <v>16999</v>
      </c>
      <c r="H58">
        <v>11</v>
      </c>
      <c r="I58">
        <v>4.3</v>
      </c>
      <c r="J58">
        <v>683</v>
      </c>
      <c r="K58" t="s">
        <v>34</v>
      </c>
      <c r="L58">
        <v>2936.9</v>
      </c>
      <c r="M58">
        <v>2499.8333333333298</v>
      </c>
      <c r="N58" t="s">
        <v>48</v>
      </c>
    </row>
    <row r="59" spans="1:14" x14ac:dyDescent="0.3">
      <c r="A59" t="s">
        <v>29</v>
      </c>
      <c r="B59" t="s">
        <v>105</v>
      </c>
      <c r="C59">
        <v>8</v>
      </c>
      <c r="D59">
        <v>128</v>
      </c>
      <c r="E59">
        <v>7000</v>
      </c>
      <c r="F59">
        <v>17599</v>
      </c>
      <c r="G59">
        <v>17999</v>
      </c>
      <c r="H59">
        <v>2</v>
      </c>
      <c r="I59">
        <v>4.3</v>
      </c>
      <c r="J59">
        <v>184</v>
      </c>
      <c r="K59" t="s">
        <v>16</v>
      </c>
      <c r="L59">
        <v>791.19999999999902</v>
      </c>
      <c r="M59">
        <v>2199.875</v>
      </c>
      <c r="N59" t="s">
        <v>125</v>
      </c>
    </row>
    <row r="60" spans="1:14" x14ac:dyDescent="0.3">
      <c r="A60" t="s">
        <v>38</v>
      </c>
      <c r="B60" t="s">
        <v>39</v>
      </c>
      <c r="C60">
        <v>8</v>
      </c>
      <c r="D60">
        <v>128</v>
      </c>
      <c r="E60">
        <v>7000</v>
      </c>
      <c r="F60">
        <v>17990</v>
      </c>
      <c r="G60">
        <v>17999</v>
      </c>
      <c r="H60" t="s">
        <v>27</v>
      </c>
      <c r="I60">
        <v>4.3</v>
      </c>
      <c r="J60">
        <v>19</v>
      </c>
      <c r="K60" t="s">
        <v>16</v>
      </c>
      <c r="L60">
        <v>81.7</v>
      </c>
      <c r="M60">
        <v>2248.75</v>
      </c>
      <c r="N60" t="s">
        <v>126</v>
      </c>
    </row>
    <row r="61" spans="1:14" x14ac:dyDescent="0.3">
      <c r="A61" t="s">
        <v>14</v>
      </c>
      <c r="B61" t="s">
        <v>127</v>
      </c>
      <c r="C61">
        <v>4</v>
      </c>
      <c r="D61">
        <v>64</v>
      </c>
      <c r="E61">
        <v>5000</v>
      </c>
      <c r="F61">
        <v>7461</v>
      </c>
      <c r="G61">
        <v>10499</v>
      </c>
      <c r="H61">
        <v>28</v>
      </c>
      <c r="I61">
        <v>4.4000000000000004</v>
      </c>
      <c r="J61">
        <v>14</v>
      </c>
      <c r="K61" t="s">
        <v>34</v>
      </c>
      <c r="L61">
        <v>61.6</v>
      </c>
      <c r="M61">
        <v>1865.25</v>
      </c>
      <c r="N61" t="s">
        <v>128</v>
      </c>
    </row>
    <row r="62" spans="1:14" x14ac:dyDescent="0.3">
      <c r="A62" t="s">
        <v>29</v>
      </c>
      <c r="B62" t="s">
        <v>129</v>
      </c>
      <c r="C62">
        <v>4</v>
      </c>
      <c r="D62">
        <v>128</v>
      </c>
      <c r="E62">
        <v>6000</v>
      </c>
      <c r="F62">
        <v>13724</v>
      </c>
      <c r="G62">
        <v>14999</v>
      </c>
      <c r="H62">
        <v>8</v>
      </c>
      <c r="I62">
        <v>4.0999999999999996</v>
      </c>
      <c r="J62">
        <v>4</v>
      </c>
      <c r="K62" t="s">
        <v>34</v>
      </c>
      <c r="L62">
        <v>16.399999999999999</v>
      </c>
      <c r="M62">
        <v>3431</v>
      </c>
      <c r="N62" t="s">
        <v>130</v>
      </c>
    </row>
    <row r="63" spans="1:14" x14ac:dyDescent="0.3">
      <c r="A63" t="s">
        <v>18</v>
      </c>
      <c r="B63" t="s">
        <v>131</v>
      </c>
      <c r="C63">
        <v>12</v>
      </c>
      <c r="D63">
        <v>256</v>
      </c>
      <c r="E63">
        <v>6500</v>
      </c>
      <c r="F63">
        <v>40999</v>
      </c>
      <c r="G63">
        <v>45999</v>
      </c>
      <c r="H63">
        <v>10</v>
      </c>
      <c r="I63">
        <v>4.5</v>
      </c>
      <c r="J63">
        <v>107</v>
      </c>
      <c r="K63" t="s">
        <v>20</v>
      </c>
      <c r="L63">
        <v>481.5</v>
      </c>
      <c r="M63">
        <v>3416.5833333333298</v>
      </c>
      <c r="N63" t="s">
        <v>132</v>
      </c>
    </row>
    <row r="64" spans="1:14" x14ac:dyDescent="0.3">
      <c r="A64" t="s">
        <v>44</v>
      </c>
      <c r="B64" t="s">
        <v>133</v>
      </c>
      <c r="C64">
        <v>8</v>
      </c>
      <c r="D64">
        <v>128</v>
      </c>
      <c r="E64">
        <v>7000</v>
      </c>
      <c r="F64">
        <v>18899</v>
      </c>
      <c r="G64">
        <v>22999</v>
      </c>
      <c r="H64">
        <v>17</v>
      </c>
      <c r="I64">
        <v>4.0999999999999996</v>
      </c>
      <c r="J64">
        <v>0</v>
      </c>
      <c r="K64" t="s">
        <v>16</v>
      </c>
      <c r="L64">
        <v>0</v>
      </c>
      <c r="M64">
        <v>2362.375</v>
      </c>
      <c r="N64" t="s">
        <v>134</v>
      </c>
    </row>
    <row r="65" spans="1:14" x14ac:dyDescent="0.3">
      <c r="A65" t="s">
        <v>14</v>
      </c>
      <c r="B65" t="s">
        <v>135</v>
      </c>
      <c r="C65">
        <v>8</v>
      </c>
      <c r="D65">
        <v>256</v>
      </c>
      <c r="E65">
        <v>5000</v>
      </c>
      <c r="F65">
        <v>27999</v>
      </c>
      <c r="G65">
        <v>30999</v>
      </c>
      <c r="H65">
        <v>9</v>
      </c>
      <c r="I65">
        <v>4</v>
      </c>
      <c r="J65">
        <v>30</v>
      </c>
      <c r="K65" t="s">
        <v>16</v>
      </c>
      <c r="L65">
        <v>120</v>
      </c>
      <c r="M65">
        <v>3499.875</v>
      </c>
      <c r="N65" t="s">
        <v>136</v>
      </c>
    </row>
    <row r="66" spans="1:14" x14ac:dyDescent="0.3">
      <c r="A66" t="s">
        <v>38</v>
      </c>
      <c r="B66" t="s">
        <v>137</v>
      </c>
      <c r="C66">
        <v>4</v>
      </c>
      <c r="D66">
        <v>128</v>
      </c>
      <c r="E66">
        <v>5000</v>
      </c>
      <c r="F66">
        <v>8499</v>
      </c>
      <c r="G66">
        <v>9999</v>
      </c>
      <c r="H66">
        <v>15</v>
      </c>
      <c r="I66">
        <v>4.3</v>
      </c>
      <c r="J66">
        <v>1493</v>
      </c>
      <c r="K66" t="s">
        <v>34</v>
      </c>
      <c r="L66">
        <v>6419.9</v>
      </c>
      <c r="M66">
        <v>2124.75</v>
      </c>
      <c r="N66" t="s">
        <v>138</v>
      </c>
    </row>
    <row r="67" spans="1:14" x14ac:dyDescent="0.3">
      <c r="A67" t="s">
        <v>14</v>
      </c>
      <c r="B67" t="s">
        <v>139</v>
      </c>
      <c r="C67">
        <v>8</v>
      </c>
      <c r="D67">
        <v>128</v>
      </c>
      <c r="E67">
        <v>5000</v>
      </c>
      <c r="F67">
        <v>32499</v>
      </c>
      <c r="G67">
        <v>35999</v>
      </c>
      <c r="H67">
        <v>9</v>
      </c>
      <c r="I67">
        <v>4.3</v>
      </c>
      <c r="J67">
        <v>158</v>
      </c>
      <c r="K67" t="s">
        <v>16</v>
      </c>
      <c r="L67">
        <v>679.4</v>
      </c>
      <c r="M67">
        <v>4062.375</v>
      </c>
      <c r="N67" t="s">
        <v>140</v>
      </c>
    </row>
    <row r="68" spans="1:14" x14ac:dyDescent="0.3">
      <c r="A68" t="s">
        <v>44</v>
      </c>
      <c r="B68" t="s">
        <v>141</v>
      </c>
      <c r="C68">
        <v>12</v>
      </c>
      <c r="D68">
        <v>512</v>
      </c>
      <c r="E68">
        <v>6500</v>
      </c>
      <c r="F68">
        <v>53999</v>
      </c>
      <c r="G68">
        <v>59999</v>
      </c>
      <c r="H68">
        <v>10</v>
      </c>
      <c r="I68">
        <v>4.5</v>
      </c>
      <c r="J68">
        <v>16</v>
      </c>
      <c r="K68" t="s">
        <v>20</v>
      </c>
      <c r="L68">
        <v>72</v>
      </c>
      <c r="M68">
        <v>4499.9166666666597</v>
      </c>
      <c r="N68" t="s">
        <v>142</v>
      </c>
    </row>
    <row r="69" spans="1:14" x14ac:dyDescent="0.3">
      <c r="A69" t="s">
        <v>44</v>
      </c>
      <c r="B69" t="s">
        <v>141</v>
      </c>
      <c r="C69">
        <v>12</v>
      </c>
      <c r="D69">
        <v>256</v>
      </c>
      <c r="E69">
        <v>6500</v>
      </c>
      <c r="F69">
        <v>48999</v>
      </c>
      <c r="G69">
        <v>54999</v>
      </c>
      <c r="H69">
        <v>10</v>
      </c>
      <c r="I69">
        <v>4.5</v>
      </c>
      <c r="J69">
        <v>16</v>
      </c>
      <c r="K69" t="s">
        <v>20</v>
      </c>
      <c r="L69">
        <v>72</v>
      </c>
      <c r="M69">
        <v>4083.25</v>
      </c>
      <c r="N69" t="s">
        <v>143</v>
      </c>
    </row>
    <row r="70" spans="1:14" x14ac:dyDescent="0.3">
      <c r="A70" t="s">
        <v>14</v>
      </c>
      <c r="B70" t="s">
        <v>144</v>
      </c>
      <c r="C70">
        <v>8</v>
      </c>
      <c r="D70">
        <v>128</v>
      </c>
      <c r="E70">
        <v>3700</v>
      </c>
      <c r="F70">
        <v>48399</v>
      </c>
      <c r="G70">
        <v>101999</v>
      </c>
      <c r="H70">
        <v>52</v>
      </c>
      <c r="I70">
        <v>3.9</v>
      </c>
      <c r="J70">
        <v>26</v>
      </c>
      <c r="K70" t="s">
        <v>20</v>
      </c>
      <c r="L70">
        <v>101.4</v>
      </c>
      <c r="M70">
        <v>6049.875</v>
      </c>
      <c r="N70" t="s">
        <v>145</v>
      </c>
    </row>
    <row r="71" spans="1:14" x14ac:dyDescent="0.3">
      <c r="A71" t="s">
        <v>44</v>
      </c>
      <c r="B71" t="s">
        <v>146</v>
      </c>
      <c r="C71">
        <v>12</v>
      </c>
      <c r="D71">
        <v>256</v>
      </c>
      <c r="E71">
        <v>6000</v>
      </c>
      <c r="F71">
        <v>40999</v>
      </c>
      <c r="G71">
        <v>42999</v>
      </c>
      <c r="H71">
        <v>4</v>
      </c>
      <c r="I71">
        <v>4.5</v>
      </c>
      <c r="J71">
        <v>360</v>
      </c>
      <c r="K71" t="s">
        <v>20</v>
      </c>
      <c r="L71">
        <v>1620</v>
      </c>
      <c r="M71">
        <v>3416.5833333333298</v>
      </c>
      <c r="N71" t="s">
        <v>147</v>
      </c>
    </row>
    <row r="72" spans="1:14" x14ac:dyDescent="0.3">
      <c r="A72" t="s">
        <v>22</v>
      </c>
      <c r="B72" t="s">
        <v>148</v>
      </c>
      <c r="C72" t="s">
        <v>24</v>
      </c>
      <c r="D72">
        <v>256</v>
      </c>
      <c r="E72" t="s">
        <v>25</v>
      </c>
      <c r="F72">
        <v>144990</v>
      </c>
      <c r="G72" t="s">
        <v>26</v>
      </c>
      <c r="H72" t="s">
        <v>27</v>
      </c>
      <c r="I72">
        <v>4.7</v>
      </c>
      <c r="J72">
        <v>914</v>
      </c>
      <c r="K72" t="s">
        <v>20</v>
      </c>
      <c r="L72">
        <v>4295.8</v>
      </c>
      <c r="M72">
        <v>0</v>
      </c>
      <c r="N72" t="s">
        <v>149</v>
      </c>
    </row>
    <row r="73" spans="1:14" x14ac:dyDescent="0.3">
      <c r="A73" t="s">
        <v>29</v>
      </c>
      <c r="B73" t="s">
        <v>150</v>
      </c>
      <c r="C73">
        <v>8</v>
      </c>
      <c r="D73">
        <v>256</v>
      </c>
      <c r="E73">
        <v>5000</v>
      </c>
      <c r="F73">
        <v>15999</v>
      </c>
      <c r="G73" t="s">
        <v>26</v>
      </c>
      <c r="H73" t="s">
        <v>27</v>
      </c>
      <c r="I73">
        <v>4.0999999999999996</v>
      </c>
      <c r="J73">
        <v>97</v>
      </c>
      <c r="K73" t="s">
        <v>16</v>
      </c>
      <c r="L73">
        <v>397.7</v>
      </c>
      <c r="M73">
        <v>1999.875</v>
      </c>
      <c r="N73" t="s">
        <v>151</v>
      </c>
    </row>
    <row r="74" spans="1:14" x14ac:dyDescent="0.3">
      <c r="A74" t="s">
        <v>38</v>
      </c>
      <c r="B74" t="s">
        <v>152</v>
      </c>
      <c r="C74">
        <v>8</v>
      </c>
      <c r="D74">
        <v>128</v>
      </c>
      <c r="E74">
        <v>6000</v>
      </c>
      <c r="F74">
        <v>16999</v>
      </c>
      <c r="G74">
        <v>20999</v>
      </c>
      <c r="H74">
        <v>19</v>
      </c>
      <c r="I74">
        <v>4.4000000000000004</v>
      </c>
      <c r="J74">
        <v>1461</v>
      </c>
      <c r="K74" t="s">
        <v>16</v>
      </c>
      <c r="L74">
        <v>6428.4</v>
      </c>
      <c r="M74">
        <v>2124.875</v>
      </c>
      <c r="N74" t="s">
        <v>153</v>
      </c>
    </row>
    <row r="75" spans="1:14" x14ac:dyDescent="0.3">
      <c r="A75" t="s">
        <v>38</v>
      </c>
      <c r="B75" t="s">
        <v>154</v>
      </c>
      <c r="C75">
        <v>4</v>
      </c>
      <c r="D75">
        <v>64</v>
      </c>
      <c r="E75">
        <v>5000</v>
      </c>
      <c r="F75">
        <v>11499</v>
      </c>
      <c r="G75">
        <v>15999</v>
      </c>
      <c r="H75">
        <v>28</v>
      </c>
      <c r="I75">
        <v>4.5</v>
      </c>
      <c r="J75">
        <v>10761</v>
      </c>
      <c r="K75" t="s">
        <v>34</v>
      </c>
      <c r="L75">
        <v>48424.5</v>
      </c>
      <c r="M75">
        <v>2874.75</v>
      </c>
      <c r="N75" t="s">
        <v>155</v>
      </c>
    </row>
    <row r="76" spans="1:14" x14ac:dyDescent="0.3">
      <c r="A76" t="s">
        <v>44</v>
      </c>
      <c r="B76" t="s">
        <v>156</v>
      </c>
      <c r="C76">
        <v>4</v>
      </c>
      <c r="D76">
        <v>128</v>
      </c>
      <c r="E76">
        <v>5000</v>
      </c>
      <c r="F76">
        <v>13999</v>
      </c>
      <c r="G76">
        <v>17999</v>
      </c>
      <c r="H76">
        <v>22</v>
      </c>
      <c r="I76">
        <v>4.3</v>
      </c>
      <c r="J76">
        <v>62</v>
      </c>
      <c r="K76" t="s">
        <v>34</v>
      </c>
      <c r="L76">
        <v>266.60000000000002</v>
      </c>
      <c r="M76">
        <v>3499.75</v>
      </c>
      <c r="N76" t="s">
        <v>157</v>
      </c>
    </row>
    <row r="77" spans="1:14" x14ac:dyDescent="0.3">
      <c r="A77" t="s">
        <v>14</v>
      </c>
      <c r="B77" t="s">
        <v>158</v>
      </c>
      <c r="C77">
        <v>6</v>
      </c>
      <c r="D77">
        <v>128</v>
      </c>
      <c r="E77">
        <v>5000</v>
      </c>
      <c r="F77">
        <v>14499</v>
      </c>
      <c r="G77">
        <v>22999</v>
      </c>
      <c r="H77">
        <v>36</v>
      </c>
      <c r="I77">
        <v>4.3</v>
      </c>
      <c r="J77">
        <v>118</v>
      </c>
      <c r="K77" t="s">
        <v>34</v>
      </c>
      <c r="L77">
        <v>507.4</v>
      </c>
      <c r="M77">
        <v>2416.5</v>
      </c>
      <c r="N77" t="s">
        <v>159</v>
      </c>
    </row>
    <row r="78" spans="1:14" x14ac:dyDescent="0.3">
      <c r="A78" t="s">
        <v>29</v>
      </c>
      <c r="B78" t="s">
        <v>160</v>
      </c>
      <c r="C78">
        <v>6</v>
      </c>
      <c r="D78">
        <v>128</v>
      </c>
      <c r="E78">
        <v>5020</v>
      </c>
      <c r="F78">
        <v>19999</v>
      </c>
      <c r="G78" t="s">
        <v>26</v>
      </c>
      <c r="H78" t="s">
        <v>27</v>
      </c>
      <c r="I78">
        <v>4.3</v>
      </c>
      <c r="J78">
        <v>3982</v>
      </c>
      <c r="K78" t="s">
        <v>16</v>
      </c>
      <c r="L78">
        <v>17122.599999999999</v>
      </c>
      <c r="M78">
        <v>3333.1666666666601</v>
      </c>
      <c r="N78" t="s">
        <v>161</v>
      </c>
    </row>
    <row r="79" spans="1:14" x14ac:dyDescent="0.3">
      <c r="A79" t="s">
        <v>14</v>
      </c>
      <c r="B79" t="s">
        <v>162</v>
      </c>
      <c r="C79">
        <v>8</v>
      </c>
      <c r="D79">
        <v>256</v>
      </c>
      <c r="E79">
        <v>5000</v>
      </c>
      <c r="F79">
        <v>30373</v>
      </c>
      <c r="G79">
        <v>34999</v>
      </c>
      <c r="H79">
        <v>13</v>
      </c>
      <c r="I79">
        <v>4.4000000000000004</v>
      </c>
      <c r="J79">
        <v>4</v>
      </c>
      <c r="K79" t="s">
        <v>16</v>
      </c>
      <c r="L79">
        <v>17.600000000000001</v>
      </c>
      <c r="M79">
        <v>3796.625</v>
      </c>
      <c r="N79" t="s">
        <v>163</v>
      </c>
    </row>
    <row r="80" spans="1:14" x14ac:dyDescent="0.3">
      <c r="A80" t="s">
        <v>14</v>
      </c>
      <c r="B80" t="s">
        <v>158</v>
      </c>
      <c r="C80">
        <v>8</v>
      </c>
      <c r="D80">
        <v>256</v>
      </c>
      <c r="E80">
        <v>5000</v>
      </c>
      <c r="F80">
        <v>29990</v>
      </c>
      <c r="G80">
        <v>29999</v>
      </c>
      <c r="H80" t="s">
        <v>27</v>
      </c>
      <c r="I80">
        <v>4.0999999999999996</v>
      </c>
      <c r="J80">
        <v>20</v>
      </c>
      <c r="K80" t="s">
        <v>16</v>
      </c>
      <c r="L80">
        <v>82</v>
      </c>
      <c r="M80">
        <v>3748.75</v>
      </c>
      <c r="N80" t="s">
        <v>164</v>
      </c>
    </row>
    <row r="81" spans="1:14" x14ac:dyDescent="0.3">
      <c r="A81" t="s">
        <v>38</v>
      </c>
      <c r="B81" t="s">
        <v>165</v>
      </c>
      <c r="C81">
        <v>12</v>
      </c>
      <c r="D81">
        <v>512</v>
      </c>
      <c r="E81">
        <v>7000</v>
      </c>
      <c r="F81">
        <v>40999</v>
      </c>
      <c r="G81">
        <v>52999</v>
      </c>
      <c r="H81">
        <v>22</v>
      </c>
      <c r="I81">
        <v>4.4000000000000004</v>
      </c>
      <c r="J81">
        <v>46</v>
      </c>
      <c r="K81" t="s">
        <v>20</v>
      </c>
      <c r="L81">
        <v>202.4</v>
      </c>
      <c r="M81">
        <v>3416.5833333333298</v>
      </c>
      <c r="N81" t="s">
        <v>166</v>
      </c>
    </row>
    <row r="82" spans="1:14" x14ac:dyDescent="0.3">
      <c r="A82" t="s">
        <v>22</v>
      </c>
      <c r="B82" t="s">
        <v>167</v>
      </c>
      <c r="C82" t="s">
        <v>24</v>
      </c>
      <c r="D82">
        <v>256</v>
      </c>
      <c r="E82" t="s">
        <v>25</v>
      </c>
      <c r="F82">
        <v>84900</v>
      </c>
      <c r="G82">
        <v>89900</v>
      </c>
      <c r="H82">
        <v>5</v>
      </c>
      <c r="I82">
        <v>4.5999999999999996</v>
      </c>
      <c r="J82">
        <v>232</v>
      </c>
      <c r="K82" t="s">
        <v>20</v>
      </c>
      <c r="L82">
        <v>1067.19999999999</v>
      </c>
      <c r="M82">
        <v>0</v>
      </c>
      <c r="N82" t="s">
        <v>168</v>
      </c>
    </row>
    <row r="83" spans="1:14" x14ac:dyDescent="0.3">
      <c r="A83" t="s">
        <v>18</v>
      </c>
      <c r="B83" t="s">
        <v>169</v>
      </c>
      <c r="C83">
        <v>12</v>
      </c>
      <c r="D83">
        <v>256</v>
      </c>
      <c r="E83">
        <v>6500</v>
      </c>
      <c r="F83">
        <v>35999</v>
      </c>
      <c r="G83">
        <v>38999</v>
      </c>
      <c r="H83">
        <v>7</v>
      </c>
      <c r="I83">
        <v>4.5</v>
      </c>
      <c r="J83">
        <v>73</v>
      </c>
      <c r="K83" t="s">
        <v>16</v>
      </c>
      <c r="L83">
        <v>328.5</v>
      </c>
      <c r="M83">
        <v>2999.9166666666601</v>
      </c>
      <c r="N83" t="s">
        <v>170</v>
      </c>
    </row>
    <row r="84" spans="1:14" x14ac:dyDescent="0.3">
      <c r="A84" t="s">
        <v>38</v>
      </c>
      <c r="B84" t="s">
        <v>171</v>
      </c>
      <c r="C84">
        <v>8</v>
      </c>
      <c r="D84">
        <v>256</v>
      </c>
      <c r="E84">
        <v>7000</v>
      </c>
      <c r="F84">
        <v>45999</v>
      </c>
      <c r="G84" t="s">
        <v>26</v>
      </c>
      <c r="H84" t="s">
        <v>27</v>
      </c>
      <c r="I84">
        <v>4.5</v>
      </c>
      <c r="J84">
        <v>116</v>
      </c>
      <c r="K84" t="s">
        <v>20</v>
      </c>
      <c r="L84">
        <v>522</v>
      </c>
      <c r="M84">
        <v>5749.875</v>
      </c>
      <c r="N84" t="s">
        <v>172</v>
      </c>
    </row>
    <row r="85" spans="1:14" x14ac:dyDescent="0.3">
      <c r="A85" t="s">
        <v>18</v>
      </c>
      <c r="B85" t="s">
        <v>169</v>
      </c>
      <c r="C85">
        <v>8</v>
      </c>
      <c r="D85">
        <v>128</v>
      </c>
      <c r="E85">
        <v>6500</v>
      </c>
      <c r="F85">
        <v>31999</v>
      </c>
      <c r="G85">
        <v>34999</v>
      </c>
      <c r="H85">
        <v>8</v>
      </c>
      <c r="I85">
        <v>4.4000000000000004</v>
      </c>
      <c r="J85">
        <v>186</v>
      </c>
      <c r="K85" t="s">
        <v>16</v>
      </c>
      <c r="L85">
        <v>818.4</v>
      </c>
      <c r="M85">
        <v>3999.875</v>
      </c>
      <c r="N85" t="s">
        <v>173</v>
      </c>
    </row>
    <row r="86" spans="1:14" x14ac:dyDescent="0.3">
      <c r="A86" t="s">
        <v>18</v>
      </c>
      <c r="B86" t="s">
        <v>131</v>
      </c>
      <c r="C86">
        <v>16</v>
      </c>
      <c r="D86">
        <v>512</v>
      </c>
      <c r="E86">
        <v>6500</v>
      </c>
      <c r="F86">
        <v>45999</v>
      </c>
      <c r="G86">
        <v>50999</v>
      </c>
      <c r="H86">
        <v>9</v>
      </c>
      <c r="I86">
        <v>4.5</v>
      </c>
      <c r="J86">
        <v>62</v>
      </c>
      <c r="K86" t="s">
        <v>20</v>
      </c>
      <c r="L86">
        <v>279</v>
      </c>
      <c r="M86">
        <v>2874.9375</v>
      </c>
      <c r="N86" t="s">
        <v>174</v>
      </c>
    </row>
    <row r="87" spans="1:14" x14ac:dyDescent="0.3">
      <c r="A87" t="s">
        <v>29</v>
      </c>
      <c r="B87" t="s">
        <v>175</v>
      </c>
      <c r="C87">
        <v>8</v>
      </c>
      <c r="D87">
        <v>128</v>
      </c>
      <c r="E87">
        <v>6200</v>
      </c>
      <c r="F87">
        <v>24790</v>
      </c>
      <c r="G87">
        <v>34999</v>
      </c>
      <c r="H87">
        <v>29</v>
      </c>
      <c r="I87">
        <v>4.4000000000000004</v>
      </c>
      <c r="J87">
        <v>30</v>
      </c>
      <c r="K87" t="s">
        <v>16</v>
      </c>
      <c r="L87">
        <v>132</v>
      </c>
      <c r="M87">
        <v>3098.75</v>
      </c>
      <c r="N87" t="s">
        <v>176</v>
      </c>
    </row>
    <row r="88" spans="1:14" x14ac:dyDescent="0.3">
      <c r="A88" t="s">
        <v>29</v>
      </c>
      <c r="B88" t="s">
        <v>177</v>
      </c>
      <c r="C88">
        <v>6</v>
      </c>
      <c r="D88">
        <v>128</v>
      </c>
      <c r="E88">
        <v>5160</v>
      </c>
      <c r="F88">
        <v>11999</v>
      </c>
      <c r="G88">
        <v>14999</v>
      </c>
      <c r="H88">
        <v>20</v>
      </c>
      <c r="I88">
        <v>4.3</v>
      </c>
      <c r="J88">
        <v>522</v>
      </c>
      <c r="K88" t="s">
        <v>34</v>
      </c>
      <c r="L88">
        <v>2244.6</v>
      </c>
      <c r="M88">
        <v>1999.8333333333301</v>
      </c>
      <c r="N88" t="s">
        <v>178</v>
      </c>
    </row>
    <row r="89" spans="1:14" x14ac:dyDescent="0.3">
      <c r="A89" t="s">
        <v>18</v>
      </c>
      <c r="B89" t="s">
        <v>131</v>
      </c>
      <c r="C89">
        <v>8</v>
      </c>
      <c r="D89">
        <v>256</v>
      </c>
      <c r="E89">
        <v>6500</v>
      </c>
      <c r="F89">
        <v>35380</v>
      </c>
      <c r="G89">
        <v>43999</v>
      </c>
      <c r="H89">
        <v>19</v>
      </c>
      <c r="I89">
        <v>4.5</v>
      </c>
      <c r="J89">
        <v>262</v>
      </c>
      <c r="K89" t="s">
        <v>16</v>
      </c>
      <c r="L89">
        <v>1179</v>
      </c>
      <c r="M89">
        <v>4422.5</v>
      </c>
      <c r="N89" t="s">
        <v>179</v>
      </c>
    </row>
    <row r="90" spans="1:14" x14ac:dyDescent="0.3">
      <c r="A90" t="s">
        <v>29</v>
      </c>
      <c r="B90" t="s">
        <v>177</v>
      </c>
      <c r="C90">
        <v>4</v>
      </c>
      <c r="D90">
        <v>128</v>
      </c>
      <c r="E90">
        <v>5160</v>
      </c>
      <c r="F90">
        <v>10499</v>
      </c>
      <c r="G90">
        <v>13999</v>
      </c>
      <c r="H90">
        <v>25</v>
      </c>
      <c r="I90">
        <v>4.2</v>
      </c>
      <c r="J90">
        <v>464</v>
      </c>
      <c r="K90" t="s">
        <v>34</v>
      </c>
      <c r="L90">
        <v>1948.8</v>
      </c>
      <c r="M90">
        <v>2624.75</v>
      </c>
      <c r="N90" t="s">
        <v>178</v>
      </c>
    </row>
    <row r="91" spans="1:14" x14ac:dyDescent="0.3">
      <c r="A91" t="s">
        <v>29</v>
      </c>
      <c r="B91" t="s">
        <v>180</v>
      </c>
      <c r="C91">
        <v>8</v>
      </c>
      <c r="D91">
        <v>256</v>
      </c>
      <c r="E91">
        <v>5520</v>
      </c>
      <c r="F91">
        <v>23226</v>
      </c>
      <c r="G91">
        <v>28999</v>
      </c>
      <c r="H91">
        <v>19</v>
      </c>
      <c r="I91">
        <v>4.4000000000000004</v>
      </c>
      <c r="J91">
        <v>3</v>
      </c>
      <c r="K91" t="s">
        <v>16</v>
      </c>
      <c r="L91">
        <v>13.2</v>
      </c>
      <c r="M91">
        <v>2903.25</v>
      </c>
      <c r="N91" t="s">
        <v>181</v>
      </c>
    </row>
    <row r="92" spans="1:14" x14ac:dyDescent="0.3">
      <c r="A92" t="s">
        <v>29</v>
      </c>
      <c r="B92" t="s">
        <v>177</v>
      </c>
      <c r="C92">
        <v>4</v>
      </c>
      <c r="D92">
        <v>64</v>
      </c>
      <c r="E92">
        <v>5160</v>
      </c>
      <c r="F92">
        <v>9119</v>
      </c>
      <c r="G92">
        <v>12999</v>
      </c>
      <c r="H92">
        <v>29</v>
      </c>
      <c r="I92">
        <v>4.2</v>
      </c>
      <c r="J92">
        <v>464</v>
      </c>
      <c r="K92" t="s">
        <v>34</v>
      </c>
      <c r="L92">
        <v>1948.8</v>
      </c>
      <c r="M92">
        <v>2279.75</v>
      </c>
      <c r="N92" t="s">
        <v>182</v>
      </c>
    </row>
    <row r="93" spans="1:14" x14ac:dyDescent="0.3">
      <c r="A93" t="s">
        <v>44</v>
      </c>
      <c r="B93" t="s">
        <v>141</v>
      </c>
      <c r="C93">
        <v>8</v>
      </c>
      <c r="D93">
        <v>256</v>
      </c>
      <c r="E93">
        <v>6500</v>
      </c>
      <c r="F93">
        <v>45999</v>
      </c>
      <c r="G93">
        <v>49999</v>
      </c>
      <c r="H93">
        <v>8</v>
      </c>
      <c r="I93">
        <v>4.5999999999999996</v>
      </c>
      <c r="J93">
        <v>85</v>
      </c>
      <c r="K93" t="s">
        <v>20</v>
      </c>
      <c r="L93">
        <v>391</v>
      </c>
      <c r="M93">
        <v>5749.875</v>
      </c>
      <c r="N93" t="s">
        <v>183</v>
      </c>
    </row>
    <row r="94" spans="1:14" x14ac:dyDescent="0.3">
      <c r="A94" t="s">
        <v>44</v>
      </c>
      <c r="B94" t="s">
        <v>184</v>
      </c>
      <c r="C94">
        <v>8</v>
      </c>
      <c r="D94">
        <v>128</v>
      </c>
      <c r="E94">
        <v>5000</v>
      </c>
      <c r="F94">
        <v>21999</v>
      </c>
      <c r="G94" t="s">
        <v>26</v>
      </c>
      <c r="H94" t="s">
        <v>27</v>
      </c>
      <c r="I94">
        <v>4.3</v>
      </c>
      <c r="J94">
        <v>389</v>
      </c>
      <c r="K94" t="s">
        <v>16</v>
      </c>
      <c r="L94">
        <v>1672.69999999999</v>
      </c>
      <c r="M94">
        <v>2749.875</v>
      </c>
      <c r="N94" t="s">
        <v>185</v>
      </c>
    </row>
    <row r="95" spans="1:14" x14ac:dyDescent="0.3">
      <c r="A95" t="s">
        <v>29</v>
      </c>
      <c r="B95" t="s">
        <v>186</v>
      </c>
      <c r="C95">
        <v>4</v>
      </c>
      <c r="D95">
        <v>64</v>
      </c>
      <c r="E95">
        <v>5000</v>
      </c>
      <c r="F95">
        <v>7499</v>
      </c>
      <c r="G95">
        <v>10999</v>
      </c>
      <c r="H95">
        <v>31</v>
      </c>
      <c r="I95">
        <v>4.2</v>
      </c>
      <c r="J95">
        <v>1257</v>
      </c>
      <c r="K95" t="s">
        <v>34</v>
      </c>
      <c r="L95">
        <v>5279.4</v>
      </c>
      <c r="M95">
        <v>1874.75</v>
      </c>
      <c r="N95" t="s">
        <v>187</v>
      </c>
    </row>
    <row r="96" spans="1:14" x14ac:dyDescent="0.3">
      <c r="A96" t="s">
        <v>44</v>
      </c>
      <c r="B96" t="s">
        <v>45</v>
      </c>
      <c r="C96">
        <v>8</v>
      </c>
      <c r="D96">
        <v>256</v>
      </c>
      <c r="E96">
        <v>7000</v>
      </c>
      <c r="F96">
        <v>37999</v>
      </c>
      <c r="G96">
        <v>42999</v>
      </c>
      <c r="H96">
        <v>11</v>
      </c>
      <c r="I96">
        <v>4.3</v>
      </c>
      <c r="J96">
        <v>12</v>
      </c>
      <c r="K96" t="s">
        <v>16</v>
      </c>
      <c r="L96">
        <v>51.6</v>
      </c>
      <c r="M96">
        <v>4749.875</v>
      </c>
      <c r="N96" t="s">
        <v>188</v>
      </c>
    </row>
    <row r="97" spans="1:14" x14ac:dyDescent="0.3">
      <c r="A97" t="s">
        <v>44</v>
      </c>
      <c r="B97" t="s">
        <v>189</v>
      </c>
      <c r="C97">
        <v>12</v>
      </c>
      <c r="D97">
        <v>256</v>
      </c>
      <c r="E97">
        <v>6200</v>
      </c>
      <c r="F97">
        <v>46974</v>
      </c>
      <c r="G97">
        <v>54999</v>
      </c>
      <c r="H97">
        <v>14</v>
      </c>
      <c r="I97">
        <v>4.5</v>
      </c>
      <c r="J97">
        <v>212</v>
      </c>
      <c r="K97" t="s">
        <v>20</v>
      </c>
      <c r="L97">
        <v>954</v>
      </c>
      <c r="M97">
        <v>3914.5</v>
      </c>
      <c r="N97" t="s">
        <v>190</v>
      </c>
    </row>
    <row r="98" spans="1:14" x14ac:dyDescent="0.3">
      <c r="A98" t="s">
        <v>14</v>
      </c>
      <c r="B98" t="s">
        <v>191</v>
      </c>
      <c r="C98">
        <v>6</v>
      </c>
      <c r="D98">
        <v>128</v>
      </c>
      <c r="E98">
        <v>5000</v>
      </c>
      <c r="F98">
        <v>21999</v>
      </c>
      <c r="G98" t="s">
        <v>26</v>
      </c>
      <c r="H98" t="s">
        <v>27</v>
      </c>
      <c r="I98">
        <v>4.0999999999999996</v>
      </c>
      <c r="J98">
        <v>197</v>
      </c>
      <c r="K98" t="s">
        <v>16</v>
      </c>
      <c r="L98">
        <v>807.69999999999902</v>
      </c>
      <c r="M98">
        <v>3666.5</v>
      </c>
      <c r="N98" t="s">
        <v>192</v>
      </c>
    </row>
    <row r="99" spans="1:14" x14ac:dyDescent="0.3">
      <c r="A99" t="s">
        <v>14</v>
      </c>
      <c r="B99" t="s">
        <v>193</v>
      </c>
      <c r="C99">
        <v>6</v>
      </c>
      <c r="D99">
        <v>128</v>
      </c>
      <c r="E99">
        <v>5000</v>
      </c>
      <c r="F99">
        <v>20999</v>
      </c>
      <c r="G99" t="s">
        <v>26</v>
      </c>
      <c r="H99" t="s">
        <v>27</v>
      </c>
      <c r="I99">
        <v>4.2</v>
      </c>
      <c r="J99">
        <v>3939</v>
      </c>
      <c r="K99" t="s">
        <v>16</v>
      </c>
      <c r="L99">
        <v>16543.8</v>
      </c>
      <c r="M99">
        <v>3499.8333333333298</v>
      </c>
      <c r="N99" t="s">
        <v>194</v>
      </c>
    </row>
    <row r="100" spans="1:14" x14ac:dyDescent="0.3">
      <c r="A100" t="s">
        <v>18</v>
      </c>
      <c r="B100" t="s">
        <v>195</v>
      </c>
      <c r="C100">
        <v>12</v>
      </c>
      <c r="D100">
        <v>512</v>
      </c>
      <c r="E100">
        <v>6040</v>
      </c>
      <c r="F100">
        <v>81999</v>
      </c>
      <c r="G100">
        <v>89999</v>
      </c>
      <c r="H100">
        <v>8</v>
      </c>
      <c r="I100">
        <v>4.7</v>
      </c>
      <c r="J100">
        <v>108</v>
      </c>
      <c r="K100" t="s">
        <v>20</v>
      </c>
      <c r="L100">
        <v>507.6</v>
      </c>
      <c r="M100">
        <v>6833.25</v>
      </c>
      <c r="N100" t="s">
        <v>196</v>
      </c>
    </row>
    <row r="101" spans="1:14" x14ac:dyDescent="0.3">
      <c r="A101" t="s">
        <v>18</v>
      </c>
      <c r="B101" t="s">
        <v>195</v>
      </c>
      <c r="C101">
        <v>12</v>
      </c>
      <c r="D101">
        <v>256</v>
      </c>
      <c r="E101">
        <v>6040</v>
      </c>
      <c r="F101">
        <v>75999</v>
      </c>
      <c r="G101">
        <v>83999</v>
      </c>
      <c r="H101">
        <v>9</v>
      </c>
      <c r="I101">
        <v>4.7</v>
      </c>
      <c r="J101">
        <v>108</v>
      </c>
      <c r="K101" t="s">
        <v>20</v>
      </c>
      <c r="L101">
        <v>507.6</v>
      </c>
      <c r="M101">
        <v>6333.25</v>
      </c>
      <c r="N101" t="s">
        <v>197</v>
      </c>
    </row>
    <row r="102" spans="1:14" x14ac:dyDescent="0.3">
      <c r="A102" t="s">
        <v>44</v>
      </c>
      <c r="B102" t="s">
        <v>198</v>
      </c>
      <c r="C102">
        <v>8</v>
      </c>
      <c r="D102">
        <v>128</v>
      </c>
      <c r="E102">
        <v>6000</v>
      </c>
      <c r="F102">
        <v>20980</v>
      </c>
      <c r="G102">
        <v>32999</v>
      </c>
      <c r="H102">
        <v>36</v>
      </c>
      <c r="I102">
        <v>4.4000000000000004</v>
      </c>
      <c r="J102">
        <v>12</v>
      </c>
      <c r="K102" t="s">
        <v>16</v>
      </c>
      <c r="L102">
        <v>52.8</v>
      </c>
      <c r="M102">
        <v>2622.5</v>
      </c>
      <c r="N102" t="s">
        <v>199</v>
      </c>
    </row>
    <row r="103" spans="1:14" x14ac:dyDescent="0.3">
      <c r="A103" t="s">
        <v>29</v>
      </c>
      <c r="B103" t="s">
        <v>175</v>
      </c>
      <c r="C103">
        <v>8</v>
      </c>
      <c r="D103">
        <v>256</v>
      </c>
      <c r="E103">
        <v>6200</v>
      </c>
      <c r="F103">
        <v>27575</v>
      </c>
      <c r="G103">
        <v>36999</v>
      </c>
      <c r="H103">
        <v>25</v>
      </c>
      <c r="I103">
        <v>4.4000000000000004</v>
      </c>
      <c r="J103">
        <v>30</v>
      </c>
      <c r="K103" t="s">
        <v>16</v>
      </c>
      <c r="L103">
        <v>132</v>
      </c>
      <c r="M103">
        <v>3446.875</v>
      </c>
      <c r="N103" t="s">
        <v>200</v>
      </c>
    </row>
    <row r="104" spans="1:14" x14ac:dyDescent="0.3">
      <c r="A104" t="s">
        <v>14</v>
      </c>
      <c r="B104" t="s">
        <v>158</v>
      </c>
      <c r="C104">
        <v>8</v>
      </c>
      <c r="D104">
        <v>128</v>
      </c>
      <c r="E104">
        <v>5000</v>
      </c>
      <c r="F104">
        <v>18296</v>
      </c>
      <c r="G104">
        <v>24499</v>
      </c>
      <c r="H104">
        <v>25</v>
      </c>
      <c r="I104">
        <v>4.0999999999999996</v>
      </c>
      <c r="J104">
        <v>20</v>
      </c>
      <c r="K104" t="s">
        <v>16</v>
      </c>
      <c r="L104">
        <v>82</v>
      </c>
      <c r="M104">
        <v>2287</v>
      </c>
      <c r="N104" t="s">
        <v>201</v>
      </c>
    </row>
    <row r="105" spans="1:14" x14ac:dyDescent="0.3">
      <c r="A105" t="s">
        <v>38</v>
      </c>
      <c r="B105" t="s">
        <v>171</v>
      </c>
      <c r="C105">
        <v>12</v>
      </c>
      <c r="D105">
        <v>256</v>
      </c>
      <c r="E105">
        <v>7000</v>
      </c>
      <c r="F105">
        <v>48999</v>
      </c>
      <c r="G105" t="s">
        <v>26</v>
      </c>
      <c r="H105" t="s">
        <v>27</v>
      </c>
      <c r="I105">
        <v>4.5999999999999996</v>
      </c>
      <c r="J105">
        <v>85</v>
      </c>
      <c r="K105" t="s">
        <v>20</v>
      </c>
      <c r="L105">
        <v>391</v>
      </c>
      <c r="M105">
        <v>4083.25</v>
      </c>
      <c r="N105" t="s">
        <v>202</v>
      </c>
    </row>
    <row r="106" spans="1:14" x14ac:dyDescent="0.3">
      <c r="A106" t="s">
        <v>29</v>
      </c>
      <c r="B106" t="s">
        <v>203</v>
      </c>
      <c r="C106">
        <v>6</v>
      </c>
      <c r="D106">
        <v>128</v>
      </c>
      <c r="E106">
        <v>5000</v>
      </c>
      <c r="F106">
        <v>11299</v>
      </c>
      <c r="G106">
        <v>15999</v>
      </c>
      <c r="H106">
        <v>29</v>
      </c>
      <c r="I106">
        <v>4.3</v>
      </c>
      <c r="J106">
        <v>1769</v>
      </c>
      <c r="K106" t="s">
        <v>34</v>
      </c>
      <c r="L106">
        <v>7606.7</v>
      </c>
      <c r="M106">
        <v>1883.1666666666599</v>
      </c>
      <c r="N106" t="s">
        <v>204</v>
      </c>
    </row>
    <row r="107" spans="1:14" x14ac:dyDescent="0.3">
      <c r="A107" t="s">
        <v>22</v>
      </c>
      <c r="B107" t="s">
        <v>205</v>
      </c>
      <c r="C107" t="s">
        <v>24</v>
      </c>
      <c r="D107">
        <v>512</v>
      </c>
      <c r="E107" t="s">
        <v>25</v>
      </c>
      <c r="F107">
        <v>99900</v>
      </c>
      <c r="G107" t="s">
        <v>26</v>
      </c>
      <c r="H107" t="s">
        <v>27</v>
      </c>
      <c r="I107">
        <v>4.5999999999999996</v>
      </c>
      <c r="J107">
        <v>4756</v>
      </c>
      <c r="K107" t="s">
        <v>20</v>
      </c>
      <c r="L107">
        <v>21877.599999999999</v>
      </c>
      <c r="M107">
        <v>0</v>
      </c>
      <c r="N107" t="s">
        <v>206</v>
      </c>
    </row>
    <row r="108" spans="1:14" x14ac:dyDescent="0.3">
      <c r="A108" t="s">
        <v>18</v>
      </c>
      <c r="B108" t="s">
        <v>207</v>
      </c>
      <c r="C108">
        <v>4</v>
      </c>
      <c r="D108">
        <v>0</v>
      </c>
      <c r="E108">
        <v>6000</v>
      </c>
      <c r="F108">
        <v>12499</v>
      </c>
      <c r="G108">
        <v>14999</v>
      </c>
      <c r="H108">
        <v>16</v>
      </c>
      <c r="I108">
        <v>4.3</v>
      </c>
      <c r="J108">
        <v>2</v>
      </c>
      <c r="K108" t="s">
        <v>34</v>
      </c>
      <c r="L108">
        <v>8.6</v>
      </c>
      <c r="M108">
        <v>3124.75</v>
      </c>
      <c r="N108" t="s">
        <v>208</v>
      </c>
    </row>
    <row r="109" spans="1:14" x14ac:dyDescent="0.3">
      <c r="A109" t="s">
        <v>38</v>
      </c>
      <c r="B109" t="s">
        <v>209</v>
      </c>
      <c r="C109">
        <v>8</v>
      </c>
      <c r="D109">
        <v>128</v>
      </c>
      <c r="E109">
        <v>7000</v>
      </c>
      <c r="F109">
        <v>27999</v>
      </c>
      <c r="G109">
        <v>28999</v>
      </c>
      <c r="H109">
        <v>3</v>
      </c>
      <c r="I109">
        <v>4.4000000000000004</v>
      </c>
      <c r="J109">
        <v>1480</v>
      </c>
      <c r="K109" t="s">
        <v>16</v>
      </c>
      <c r="L109">
        <v>6512</v>
      </c>
      <c r="M109">
        <v>3499.875</v>
      </c>
      <c r="N109" t="s">
        <v>210</v>
      </c>
    </row>
    <row r="110" spans="1:14" x14ac:dyDescent="0.3">
      <c r="A110" t="s">
        <v>22</v>
      </c>
      <c r="B110" t="s">
        <v>205</v>
      </c>
      <c r="C110" t="s">
        <v>24</v>
      </c>
      <c r="D110">
        <v>256</v>
      </c>
      <c r="E110" t="s">
        <v>25</v>
      </c>
      <c r="F110">
        <v>79900</v>
      </c>
      <c r="G110" t="s">
        <v>26</v>
      </c>
      <c r="H110" t="s">
        <v>27</v>
      </c>
      <c r="I110">
        <v>4.5999999999999996</v>
      </c>
      <c r="J110">
        <v>4756</v>
      </c>
      <c r="K110" t="s">
        <v>20</v>
      </c>
      <c r="L110">
        <v>21877.599999999999</v>
      </c>
      <c r="M110">
        <v>0</v>
      </c>
      <c r="N110" t="s">
        <v>211</v>
      </c>
    </row>
    <row r="111" spans="1:14" x14ac:dyDescent="0.3">
      <c r="A111" t="s">
        <v>44</v>
      </c>
      <c r="B111" t="s">
        <v>212</v>
      </c>
      <c r="C111">
        <v>8</v>
      </c>
      <c r="D111">
        <v>128</v>
      </c>
      <c r="E111">
        <v>4015</v>
      </c>
      <c r="F111">
        <v>20990</v>
      </c>
      <c r="G111">
        <v>25990</v>
      </c>
      <c r="H111">
        <v>19</v>
      </c>
      <c r="I111">
        <v>4.3</v>
      </c>
      <c r="J111">
        <v>2401</v>
      </c>
      <c r="K111" t="s">
        <v>16</v>
      </c>
      <c r="L111">
        <v>10324.299999999999</v>
      </c>
      <c r="M111">
        <v>2623.75</v>
      </c>
      <c r="N111" t="s">
        <v>213</v>
      </c>
    </row>
    <row r="112" spans="1:14" x14ac:dyDescent="0.3">
      <c r="A112" t="s">
        <v>14</v>
      </c>
      <c r="B112" t="s">
        <v>99</v>
      </c>
      <c r="C112">
        <v>4</v>
      </c>
      <c r="D112">
        <v>64</v>
      </c>
      <c r="E112">
        <v>5000</v>
      </c>
      <c r="F112">
        <v>11634</v>
      </c>
      <c r="G112">
        <v>11999</v>
      </c>
      <c r="H112">
        <v>3</v>
      </c>
      <c r="I112">
        <v>4.0999999999999996</v>
      </c>
      <c r="J112">
        <v>192</v>
      </c>
      <c r="K112" t="s">
        <v>34</v>
      </c>
      <c r="L112">
        <v>787.19999999999902</v>
      </c>
      <c r="M112">
        <v>2908.5</v>
      </c>
      <c r="N112" t="s">
        <v>214</v>
      </c>
    </row>
    <row r="113" spans="1:14" x14ac:dyDescent="0.3">
      <c r="A113" t="s">
        <v>38</v>
      </c>
      <c r="B113" t="s">
        <v>112</v>
      </c>
      <c r="C113">
        <v>8</v>
      </c>
      <c r="D113">
        <v>128</v>
      </c>
      <c r="E113">
        <v>7000</v>
      </c>
      <c r="F113">
        <v>18999</v>
      </c>
      <c r="G113" t="s">
        <v>26</v>
      </c>
      <c r="H113" t="s">
        <v>27</v>
      </c>
      <c r="I113">
        <v>4.4000000000000004</v>
      </c>
      <c r="J113">
        <v>255</v>
      </c>
      <c r="K113" t="s">
        <v>16</v>
      </c>
      <c r="L113">
        <v>1122</v>
      </c>
      <c r="M113">
        <v>2374.875</v>
      </c>
      <c r="N113" t="s">
        <v>215</v>
      </c>
    </row>
    <row r="114" spans="1:14" x14ac:dyDescent="0.3">
      <c r="A114" t="s">
        <v>18</v>
      </c>
      <c r="B114" t="s">
        <v>216</v>
      </c>
      <c r="C114">
        <v>8</v>
      </c>
      <c r="D114">
        <v>128</v>
      </c>
      <c r="E114">
        <v>5700</v>
      </c>
      <c r="F114">
        <v>22499</v>
      </c>
      <c r="G114">
        <v>23499</v>
      </c>
      <c r="H114">
        <v>4</v>
      </c>
      <c r="I114">
        <v>4.5</v>
      </c>
      <c r="J114">
        <v>2746</v>
      </c>
      <c r="K114" t="s">
        <v>16</v>
      </c>
      <c r="L114">
        <v>12357</v>
      </c>
      <c r="M114">
        <v>2812.375</v>
      </c>
      <c r="N114" t="s">
        <v>217</v>
      </c>
    </row>
    <row r="115" spans="1:14" x14ac:dyDescent="0.3">
      <c r="A115" t="s">
        <v>38</v>
      </c>
      <c r="B115" t="s">
        <v>112</v>
      </c>
      <c r="C115">
        <v>6</v>
      </c>
      <c r="D115">
        <v>128</v>
      </c>
      <c r="E115">
        <v>7000</v>
      </c>
      <c r="F115">
        <v>17999</v>
      </c>
      <c r="G115" t="s">
        <v>26</v>
      </c>
      <c r="H115" t="s">
        <v>27</v>
      </c>
      <c r="I115">
        <v>4.4000000000000004</v>
      </c>
      <c r="J115">
        <v>640</v>
      </c>
      <c r="K115" t="s">
        <v>16</v>
      </c>
      <c r="L115">
        <v>2816</v>
      </c>
      <c r="M115">
        <v>2999.8333333333298</v>
      </c>
      <c r="N115" t="s">
        <v>218</v>
      </c>
    </row>
    <row r="116" spans="1:14" x14ac:dyDescent="0.3">
      <c r="A116" t="s">
        <v>29</v>
      </c>
      <c r="B116" t="s">
        <v>219</v>
      </c>
      <c r="C116">
        <v>3</v>
      </c>
      <c r="D116">
        <v>64</v>
      </c>
      <c r="E116">
        <v>5200</v>
      </c>
      <c r="F116">
        <v>7999</v>
      </c>
      <c r="G116">
        <v>8999</v>
      </c>
      <c r="H116">
        <v>11</v>
      </c>
      <c r="I116">
        <v>4.0999999999999996</v>
      </c>
      <c r="J116">
        <v>353</v>
      </c>
      <c r="K116" t="s">
        <v>34</v>
      </c>
      <c r="L116">
        <v>1447.3</v>
      </c>
      <c r="M116">
        <v>2666.3333333333298</v>
      </c>
      <c r="N116" t="s">
        <v>220</v>
      </c>
    </row>
    <row r="117" spans="1:14" x14ac:dyDescent="0.3">
      <c r="A117" t="s">
        <v>18</v>
      </c>
      <c r="B117" t="s">
        <v>221</v>
      </c>
      <c r="C117">
        <v>8</v>
      </c>
      <c r="D117">
        <v>256</v>
      </c>
      <c r="E117">
        <v>5000</v>
      </c>
      <c r="F117">
        <v>20499</v>
      </c>
      <c r="G117">
        <v>24999</v>
      </c>
      <c r="H117">
        <v>18</v>
      </c>
      <c r="I117">
        <v>4.4000000000000004</v>
      </c>
      <c r="J117">
        <v>8228</v>
      </c>
      <c r="K117" t="s">
        <v>16</v>
      </c>
      <c r="L117">
        <v>36203.199999999997</v>
      </c>
      <c r="M117">
        <v>2562.375</v>
      </c>
      <c r="N117" t="s">
        <v>222</v>
      </c>
    </row>
    <row r="118" spans="1:14" x14ac:dyDescent="0.3">
      <c r="A118" t="s">
        <v>38</v>
      </c>
      <c r="B118" t="s">
        <v>223</v>
      </c>
      <c r="C118">
        <v>4</v>
      </c>
      <c r="D118">
        <v>128</v>
      </c>
      <c r="E118">
        <v>6300</v>
      </c>
      <c r="F118">
        <v>11999</v>
      </c>
      <c r="G118">
        <v>13999</v>
      </c>
      <c r="H118">
        <v>14</v>
      </c>
      <c r="I118">
        <v>4.4000000000000004</v>
      </c>
      <c r="J118">
        <v>7</v>
      </c>
      <c r="K118" t="s">
        <v>34</v>
      </c>
      <c r="L118">
        <v>30.8</v>
      </c>
      <c r="M118">
        <v>2999.75</v>
      </c>
      <c r="N118" t="s">
        <v>224</v>
      </c>
    </row>
    <row r="119" spans="1:14" x14ac:dyDescent="0.3">
      <c r="A119" t="s">
        <v>14</v>
      </c>
      <c r="B119" t="s">
        <v>225</v>
      </c>
      <c r="C119">
        <v>8</v>
      </c>
      <c r="D119">
        <v>256</v>
      </c>
      <c r="E119">
        <v>5000</v>
      </c>
      <c r="F119">
        <v>36999</v>
      </c>
      <c r="G119">
        <v>45999</v>
      </c>
      <c r="H119">
        <v>19</v>
      </c>
      <c r="I119">
        <v>4.4000000000000004</v>
      </c>
      <c r="J119">
        <v>467</v>
      </c>
      <c r="K119" t="s">
        <v>16</v>
      </c>
      <c r="L119">
        <v>2054.8000000000002</v>
      </c>
      <c r="M119">
        <v>4624.875</v>
      </c>
      <c r="N119" t="s">
        <v>226</v>
      </c>
    </row>
    <row r="120" spans="1:14" x14ac:dyDescent="0.3">
      <c r="A120" t="s">
        <v>22</v>
      </c>
      <c r="B120" t="s">
        <v>167</v>
      </c>
      <c r="C120" t="s">
        <v>24</v>
      </c>
      <c r="D120">
        <v>128</v>
      </c>
      <c r="E120" t="s">
        <v>25</v>
      </c>
      <c r="F120">
        <v>74900</v>
      </c>
      <c r="G120">
        <v>79900</v>
      </c>
      <c r="H120">
        <v>6</v>
      </c>
      <c r="I120">
        <v>4.5999999999999996</v>
      </c>
      <c r="J120">
        <v>232</v>
      </c>
      <c r="K120" t="s">
        <v>20</v>
      </c>
      <c r="L120">
        <v>1067.19999999999</v>
      </c>
      <c r="M120">
        <v>0</v>
      </c>
      <c r="N120" t="s">
        <v>227</v>
      </c>
    </row>
    <row r="121" spans="1:14" x14ac:dyDescent="0.3">
      <c r="A121" t="s">
        <v>22</v>
      </c>
      <c r="B121" t="s">
        <v>120</v>
      </c>
      <c r="C121" t="s">
        <v>24</v>
      </c>
      <c r="D121">
        <v>1000</v>
      </c>
      <c r="E121" t="s">
        <v>25</v>
      </c>
      <c r="F121">
        <v>174900</v>
      </c>
      <c r="G121" t="s">
        <v>26</v>
      </c>
      <c r="H121" t="s">
        <v>27</v>
      </c>
      <c r="I121">
        <v>4.7</v>
      </c>
      <c r="J121">
        <v>72</v>
      </c>
      <c r="K121" t="s">
        <v>20</v>
      </c>
      <c r="L121">
        <v>338.4</v>
      </c>
      <c r="M121">
        <v>0</v>
      </c>
      <c r="N121" t="s">
        <v>228</v>
      </c>
    </row>
    <row r="122" spans="1:14" x14ac:dyDescent="0.3">
      <c r="A122" t="s">
        <v>29</v>
      </c>
      <c r="B122" t="s">
        <v>219</v>
      </c>
      <c r="C122">
        <v>4</v>
      </c>
      <c r="D122">
        <v>128</v>
      </c>
      <c r="E122">
        <v>5200</v>
      </c>
      <c r="F122">
        <v>8999</v>
      </c>
      <c r="G122">
        <v>9999</v>
      </c>
      <c r="H122">
        <v>10</v>
      </c>
      <c r="I122">
        <v>4.2</v>
      </c>
      <c r="J122">
        <v>250</v>
      </c>
      <c r="K122" t="s">
        <v>34</v>
      </c>
      <c r="L122">
        <v>1050</v>
      </c>
      <c r="M122">
        <v>2249.75</v>
      </c>
      <c r="N122" t="s">
        <v>229</v>
      </c>
    </row>
    <row r="123" spans="1:14" x14ac:dyDescent="0.3">
      <c r="A123" t="s">
        <v>18</v>
      </c>
      <c r="B123" t="s">
        <v>221</v>
      </c>
      <c r="C123">
        <v>8</v>
      </c>
      <c r="D123">
        <v>128</v>
      </c>
      <c r="E123">
        <v>5000</v>
      </c>
      <c r="F123">
        <v>18499</v>
      </c>
      <c r="G123">
        <v>22999</v>
      </c>
      <c r="H123">
        <v>19</v>
      </c>
      <c r="I123">
        <v>4.4000000000000004</v>
      </c>
      <c r="J123">
        <v>8228</v>
      </c>
      <c r="K123" t="s">
        <v>16</v>
      </c>
      <c r="L123">
        <v>36203.199999999997</v>
      </c>
      <c r="M123">
        <v>2312.375</v>
      </c>
      <c r="N123" t="s">
        <v>230</v>
      </c>
    </row>
    <row r="124" spans="1:14" x14ac:dyDescent="0.3">
      <c r="A124" t="s">
        <v>44</v>
      </c>
      <c r="B124" t="s">
        <v>231</v>
      </c>
      <c r="C124">
        <v>8</v>
      </c>
      <c r="D124">
        <v>128</v>
      </c>
      <c r="E124">
        <v>7000</v>
      </c>
      <c r="F124">
        <v>23799</v>
      </c>
      <c r="G124">
        <v>33999</v>
      </c>
      <c r="H124">
        <v>30</v>
      </c>
      <c r="I124">
        <v>4.5</v>
      </c>
      <c r="J124">
        <v>547</v>
      </c>
      <c r="K124" t="s">
        <v>16</v>
      </c>
      <c r="L124">
        <v>2461.5</v>
      </c>
      <c r="M124">
        <v>2974.875</v>
      </c>
      <c r="N124" t="s">
        <v>232</v>
      </c>
    </row>
    <row r="125" spans="1:14" x14ac:dyDescent="0.3">
      <c r="A125" t="s">
        <v>14</v>
      </c>
      <c r="B125" t="s">
        <v>233</v>
      </c>
      <c r="C125">
        <v>8</v>
      </c>
      <c r="D125">
        <v>128</v>
      </c>
      <c r="E125">
        <v>4700</v>
      </c>
      <c r="F125">
        <v>39999</v>
      </c>
      <c r="G125">
        <v>59999</v>
      </c>
      <c r="H125">
        <v>33</v>
      </c>
      <c r="I125">
        <v>4.5</v>
      </c>
      <c r="J125">
        <v>5388</v>
      </c>
      <c r="K125" t="s">
        <v>16</v>
      </c>
      <c r="L125">
        <v>24246</v>
      </c>
      <c r="M125">
        <v>4999.875</v>
      </c>
      <c r="N125" t="s">
        <v>234</v>
      </c>
    </row>
    <row r="126" spans="1:14" x14ac:dyDescent="0.3">
      <c r="A126" t="s">
        <v>44</v>
      </c>
      <c r="B126" t="s">
        <v>235</v>
      </c>
      <c r="C126">
        <v>6</v>
      </c>
      <c r="D126">
        <v>128</v>
      </c>
      <c r="E126">
        <v>6000</v>
      </c>
      <c r="F126">
        <v>13999</v>
      </c>
      <c r="G126">
        <v>16999</v>
      </c>
      <c r="H126">
        <v>17</v>
      </c>
      <c r="I126">
        <v>4.5</v>
      </c>
      <c r="J126">
        <v>6338</v>
      </c>
      <c r="K126" t="s">
        <v>34</v>
      </c>
      <c r="L126">
        <v>28521</v>
      </c>
      <c r="M126">
        <v>2333.1666666666601</v>
      </c>
      <c r="N126" t="s">
        <v>236</v>
      </c>
    </row>
    <row r="127" spans="1:14" x14ac:dyDescent="0.3">
      <c r="A127" t="s">
        <v>38</v>
      </c>
      <c r="B127" t="s">
        <v>237</v>
      </c>
      <c r="C127">
        <v>8</v>
      </c>
      <c r="D127">
        <v>128</v>
      </c>
      <c r="E127">
        <v>5000</v>
      </c>
      <c r="F127">
        <v>16299</v>
      </c>
      <c r="G127">
        <v>20999</v>
      </c>
      <c r="H127">
        <v>22</v>
      </c>
      <c r="I127">
        <v>4.5</v>
      </c>
      <c r="J127">
        <v>3</v>
      </c>
      <c r="K127" t="s">
        <v>16</v>
      </c>
      <c r="L127">
        <v>13.5</v>
      </c>
      <c r="M127">
        <v>2037.375</v>
      </c>
      <c r="N127" t="s">
        <v>238</v>
      </c>
    </row>
    <row r="128" spans="1:14" x14ac:dyDescent="0.3">
      <c r="A128" t="s">
        <v>38</v>
      </c>
      <c r="B128" t="s">
        <v>239</v>
      </c>
      <c r="C128">
        <v>8</v>
      </c>
      <c r="D128">
        <v>256</v>
      </c>
      <c r="E128">
        <v>10001</v>
      </c>
      <c r="F128">
        <v>28999</v>
      </c>
      <c r="G128">
        <v>34999</v>
      </c>
      <c r="H128">
        <v>17</v>
      </c>
      <c r="I128">
        <v>4.5</v>
      </c>
      <c r="J128">
        <v>245</v>
      </c>
      <c r="K128" t="s">
        <v>16</v>
      </c>
      <c r="L128">
        <v>1102.5</v>
      </c>
      <c r="M128">
        <v>3624.875</v>
      </c>
      <c r="N128" t="s">
        <v>240</v>
      </c>
    </row>
    <row r="129" spans="1:14" x14ac:dyDescent="0.3">
      <c r="A129" t="s">
        <v>38</v>
      </c>
      <c r="B129" t="s">
        <v>239</v>
      </c>
      <c r="C129">
        <v>8</v>
      </c>
      <c r="D129">
        <v>128</v>
      </c>
      <c r="E129">
        <v>10001</v>
      </c>
      <c r="F129">
        <v>26999</v>
      </c>
      <c r="G129">
        <v>32999</v>
      </c>
      <c r="H129">
        <v>18</v>
      </c>
      <c r="I129">
        <v>4.5</v>
      </c>
      <c r="J129">
        <v>245</v>
      </c>
      <c r="K129" t="s">
        <v>16</v>
      </c>
      <c r="L129">
        <v>1102.5</v>
      </c>
      <c r="M129">
        <v>3374.875</v>
      </c>
      <c r="N129" t="s">
        <v>241</v>
      </c>
    </row>
    <row r="130" spans="1:14" x14ac:dyDescent="0.3">
      <c r="A130" t="s">
        <v>14</v>
      </c>
      <c r="B130" t="s">
        <v>242</v>
      </c>
      <c r="C130">
        <v>6</v>
      </c>
      <c r="D130">
        <v>128</v>
      </c>
      <c r="E130">
        <v>5000</v>
      </c>
      <c r="F130">
        <v>19999</v>
      </c>
      <c r="G130">
        <v>22999</v>
      </c>
      <c r="H130">
        <v>13</v>
      </c>
      <c r="I130">
        <v>4.3</v>
      </c>
      <c r="J130">
        <v>679</v>
      </c>
      <c r="K130" t="s">
        <v>16</v>
      </c>
      <c r="L130">
        <v>2919.7</v>
      </c>
      <c r="M130">
        <v>3333.1666666666601</v>
      </c>
      <c r="N130" t="s">
        <v>243</v>
      </c>
    </row>
    <row r="131" spans="1:14" x14ac:dyDescent="0.3">
      <c r="A131" t="s">
        <v>29</v>
      </c>
      <c r="B131" t="s">
        <v>244</v>
      </c>
      <c r="C131">
        <v>8</v>
      </c>
      <c r="D131">
        <v>128</v>
      </c>
      <c r="E131">
        <v>5030</v>
      </c>
      <c r="F131">
        <v>14980</v>
      </c>
      <c r="G131">
        <v>19999</v>
      </c>
      <c r="H131">
        <v>25</v>
      </c>
      <c r="I131">
        <v>4.2</v>
      </c>
      <c r="J131">
        <v>807</v>
      </c>
      <c r="K131" t="s">
        <v>34</v>
      </c>
      <c r="L131">
        <v>3389.4</v>
      </c>
      <c r="M131">
        <v>1872.5</v>
      </c>
      <c r="N131" t="s">
        <v>245</v>
      </c>
    </row>
    <row r="132" spans="1:14" x14ac:dyDescent="0.3">
      <c r="A132" t="s">
        <v>14</v>
      </c>
      <c r="B132" t="s">
        <v>246</v>
      </c>
      <c r="C132">
        <v>12</v>
      </c>
      <c r="D132">
        <v>256</v>
      </c>
      <c r="E132">
        <v>4900</v>
      </c>
      <c r="F132">
        <v>74999</v>
      </c>
      <c r="G132">
        <v>99999</v>
      </c>
      <c r="H132">
        <v>25</v>
      </c>
      <c r="I132">
        <v>4.5999999999999996</v>
      </c>
      <c r="J132">
        <v>51</v>
      </c>
      <c r="K132" t="s">
        <v>20</v>
      </c>
      <c r="L132">
        <v>234.6</v>
      </c>
      <c r="M132">
        <v>6249.9166666666597</v>
      </c>
      <c r="N132" t="s">
        <v>247</v>
      </c>
    </row>
    <row r="133" spans="1:14" x14ac:dyDescent="0.3">
      <c r="A133" t="s">
        <v>18</v>
      </c>
      <c r="B133" t="s">
        <v>248</v>
      </c>
      <c r="C133">
        <v>8</v>
      </c>
      <c r="D133">
        <v>128</v>
      </c>
      <c r="E133">
        <v>6500</v>
      </c>
      <c r="F133">
        <v>27999</v>
      </c>
      <c r="G133">
        <v>32999</v>
      </c>
      <c r="H133">
        <v>15</v>
      </c>
      <c r="I133">
        <v>4.5</v>
      </c>
      <c r="J133">
        <v>1155</v>
      </c>
      <c r="K133" t="s">
        <v>16</v>
      </c>
      <c r="L133">
        <v>5197.5</v>
      </c>
      <c r="M133">
        <v>3499.875</v>
      </c>
      <c r="N133" t="s">
        <v>249</v>
      </c>
    </row>
    <row r="134" spans="1:14" x14ac:dyDescent="0.3">
      <c r="A134" t="s">
        <v>14</v>
      </c>
      <c r="B134" t="s">
        <v>135</v>
      </c>
      <c r="C134">
        <v>8</v>
      </c>
      <c r="D134">
        <v>128</v>
      </c>
      <c r="E134">
        <v>5000</v>
      </c>
      <c r="F134">
        <v>21139</v>
      </c>
      <c r="G134">
        <v>27999</v>
      </c>
      <c r="H134">
        <v>24</v>
      </c>
      <c r="I134">
        <v>4</v>
      </c>
      <c r="J134">
        <v>30</v>
      </c>
      <c r="K134" t="s">
        <v>16</v>
      </c>
      <c r="L134">
        <v>120</v>
      </c>
      <c r="M134">
        <v>2642.375</v>
      </c>
      <c r="N134" t="s">
        <v>250</v>
      </c>
    </row>
    <row r="135" spans="1:14" x14ac:dyDescent="0.3">
      <c r="A135" t="s">
        <v>38</v>
      </c>
      <c r="B135" t="s">
        <v>107</v>
      </c>
      <c r="C135">
        <v>12</v>
      </c>
      <c r="D135">
        <v>512</v>
      </c>
      <c r="E135">
        <v>6000</v>
      </c>
      <c r="F135">
        <v>37999</v>
      </c>
      <c r="G135">
        <v>39999</v>
      </c>
      <c r="H135">
        <v>5</v>
      </c>
      <c r="I135">
        <v>4.4000000000000004</v>
      </c>
      <c r="J135">
        <v>968</v>
      </c>
      <c r="K135" t="s">
        <v>16</v>
      </c>
      <c r="L135">
        <v>4259.2</v>
      </c>
      <c r="M135">
        <v>3166.5833333333298</v>
      </c>
      <c r="N135" t="s">
        <v>251</v>
      </c>
    </row>
    <row r="136" spans="1:14" x14ac:dyDescent="0.3">
      <c r="A136" t="s">
        <v>22</v>
      </c>
      <c r="B136" t="s">
        <v>252</v>
      </c>
      <c r="C136" t="s">
        <v>24</v>
      </c>
      <c r="D136">
        <v>256</v>
      </c>
      <c r="E136" t="s">
        <v>25</v>
      </c>
      <c r="F136">
        <v>64900</v>
      </c>
      <c r="G136" t="s">
        <v>26</v>
      </c>
      <c r="H136" t="s">
        <v>27</v>
      </c>
      <c r="I136">
        <v>4.8</v>
      </c>
      <c r="J136">
        <v>0</v>
      </c>
      <c r="K136" t="s">
        <v>20</v>
      </c>
      <c r="L136">
        <v>0</v>
      </c>
      <c r="M136">
        <v>0</v>
      </c>
      <c r="N136" t="s">
        <v>253</v>
      </c>
    </row>
    <row r="137" spans="1:14" x14ac:dyDescent="0.3">
      <c r="A137" t="s">
        <v>38</v>
      </c>
      <c r="B137" t="s">
        <v>254</v>
      </c>
      <c r="C137">
        <v>8</v>
      </c>
      <c r="D137">
        <v>128</v>
      </c>
      <c r="E137">
        <v>7000</v>
      </c>
      <c r="F137">
        <v>18927</v>
      </c>
      <c r="G137">
        <v>19999</v>
      </c>
      <c r="H137">
        <v>5</v>
      </c>
      <c r="I137">
        <v>4.3</v>
      </c>
      <c r="J137">
        <v>9</v>
      </c>
      <c r="K137" t="s">
        <v>16</v>
      </c>
      <c r="L137">
        <v>38.700000000000003</v>
      </c>
      <c r="M137">
        <v>2365.875</v>
      </c>
      <c r="N137" t="s">
        <v>255</v>
      </c>
    </row>
    <row r="138" spans="1:14" x14ac:dyDescent="0.3">
      <c r="A138" t="s">
        <v>38</v>
      </c>
      <c r="B138" t="s">
        <v>254</v>
      </c>
      <c r="C138">
        <v>6</v>
      </c>
      <c r="D138">
        <v>128</v>
      </c>
      <c r="E138">
        <v>7000</v>
      </c>
      <c r="F138">
        <v>17993</v>
      </c>
      <c r="G138">
        <v>18999</v>
      </c>
      <c r="H138">
        <v>5</v>
      </c>
      <c r="I138">
        <v>4.3</v>
      </c>
      <c r="J138">
        <v>14</v>
      </c>
      <c r="K138" t="s">
        <v>16</v>
      </c>
      <c r="L138">
        <v>60.2</v>
      </c>
      <c r="M138">
        <v>2998.8333333333298</v>
      </c>
      <c r="N138" t="s">
        <v>255</v>
      </c>
    </row>
    <row r="139" spans="1:14" x14ac:dyDescent="0.3">
      <c r="A139" t="s">
        <v>14</v>
      </c>
      <c r="B139" t="s">
        <v>242</v>
      </c>
      <c r="C139">
        <v>8</v>
      </c>
      <c r="D139">
        <v>128</v>
      </c>
      <c r="E139">
        <v>5000</v>
      </c>
      <c r="F139">
        <v>21499</v>
      </c>
      <c r="G139">
        <v>24499</v>
      </c>
      <c r="H139">
        <v>12</v>
      </c>
      <c r="I139">
        <v>4.2</v>
      </c>
      <c r="J139">
        <v>361</v>
      </c>
      <c r="K139" t="s">
        <v>16</v>
      </c>
      <c r="L139">
        <v>1516.2</v>
      </c>
      <c r="M139">
        <v>2687.375</v>
      </c>
      <c r="N139" t="s">
        <v>256</v>
      </c>
    </row>
    <row r="140" spans="1:14" x14ac:dyDescent="0.3">
      <c r="A140" t="s">
        <v>14</v>
      </c>
      <c r="B140" t="s">
        <v>225</v>
      </c>
      <c r="C140">
        <v>8</v>
      </c>
      <c r="D140">
        <v>128</v>
      </c>
      <c r="E140">
        <v>5000</v>
      </c>
      <c r="F140">
        <v>29845</v>
      </c>
      <c r="G140">
        <v>42999</v>
      </c>
      <c r="H140">
        <v>30</v>
      </c>
      <c r="I140">
        <v>4.4000000000000004</v>
      </c>
      <c r="J140">
        <v>467</v>
      </c>
      <c r="K140" t="s">
        <v>16</v>
      </c>
      <c r="L140">
        <v>2054.8000000000002</v>
      </c>
      <c r="M140">
        <v>3730.625</v>
      </c>
      <c r="N140" t="s">
        <v>257</v>
      </c>
    </row>
    <row r="141" spans="1:14" x14ac:dyDescent="0.3">
      <c r="A141" t="s">
        <v>38</v>
      </c>
      <c r="B141" t="s">
        <v>107</v>
      </c>
      <c r="C141">
        <v>12</v>
      </c>
      <c r="D141">
        <v>256</v>
      </c>
      <c r="E141">
        <v>6000</v>
      </c>
      <c r="F141">
        <v>34999</v>
      </c>
      <c r="G141">
        <v>37999</v>
      </c>
      <c r="H141">
        <v>7</v>
      </c>
      <c r="I141">
        <v>4.4000000000000004</v>
      </c>
      <c r="J141">
        <v>968</v>
      </c>
      <c r="K141" t="s">
        <v>16</v>
      </c>
      <c r="L141">
        <v>4259.2</v>
      </c>
      <c r="M141">
        <v>2916.5833333333298</v>
      </c>
      <c r="N141" t="s">
        <v>258</v>
      </c>
    </row>
    <row r="142" spans="1:14" x14ac:dyDescent="0.3">
      <c r="A142" t="s">
        <v>14</v>
      </c>
      <c r="B142" t="s">
        <v>56</v>
      </c>
      <c r="C142">
        <v>8</v>
      </c>
      <c r="D142">
        <v>256</v>
      </c>
      <c r="E142">
        <v>4000</v>
      </c>
      <c r="F142">
        <v>55999</v>
      </c>
      <c r="G142">
        <v>79999</v>
      </c>
      <c r="H142">
        <v>30</v>
      </c>
      <c r="I142">
        <v>4.5999999999999996</v>
      </c>
      <c r="J142">
        <v>3540</v>
      </c>
      <c r="K142" t="s">
        <v>20</v>
      </c>
      <c r="L142">
        <v>16283.9999999999</v>
      </c>
      <c r="M142">
        <v>6999.875</v>
      </c>
      <c r="N142" t="s">
        <v>259</v>
      </c>
    </row>
    <row r="143" spans="1:14" x14ac:dyDescent="0.3">
      <c r="A143" t="s">
        <v>22</v>
      </c>
      <c r="B143" t="s">
        <v>260</v>
      </c>
      <c r="C143" t="s">
        <v>24</v>
      </c>
      <c r="D143">
        <v>256</v>
      </c>
      <c r="E143" t="s">
        <v>25</v>
      </c>
      <c r="F143">
        <v>82900</v>
      </c>
      <c r="G143" t="s">
        <v>26</v>
      </c>
      <c r="H143" t="s">
        <v>27</v>
      </c>
      <c r="I143">
        <v>4.5999999999999996</v>
      </c>
      <c r="J143">
        <v>359</v>
      </c>
      <c r="K143" t="s">
        <v>20</v>
      </c>
      <c r="L143">
        <v>1651.4</v>
      </c>
      <c r="M143">
        <v>0</v>
      </c>
      <c r="N143" t="s">
        <v>261</v>
      </c>
    </row>
    <row r="144" spans="1:14" x14ac:dyDescent="0.3">
      <c r="A144" t="s">
        <v>22</v>
      </c>
      <c r="B144" t="s">
        <v>262</v>
      </c>
      <c r="C144" t="s">
        <v>24</v>
      </c>
      <c r="D144">
        <v>512</v>
      </c>
      <c r="E144" t="s">
        <v>25</v>
      </c>
      <c r="F144">
        <v>169900</v>
      </c>
      <c r="G144" t="s">
        <v>26</v>
      </c>
      <c r="H144" t="s">
        <v>27</v>
      </c>
      <c r="I144">
        <v>4.8</v>
      </c>
      <c r="J144">
        <v>39</v>
      </c>
      <c r="K144" t="s">
        <v>20</v>
      </c>
      <c r="L144">
        <v>187.2</v>
      </c>
      <c r="M144">
        <v>0</v>
      </c>
      <c r="N144" t="s">
        <v>263</v>
      </c>
    </row>
    <row r="145" spans="1:14" x14ac:dyDescent="0.3">
      <c r="A145" t="s">
        <v>18</v>
      </c>
      <c r="B145" t="s">
        <v>264</v>
      </c>
      <c r="C145">
        <v>8</v>
      </c>
      <c r="D145">
        <v>256</v>
      </c>
      <c r="E145">
        <v>5600</v>
      </c>
      <c r="F145">
        <v>28899</v>
      </c>
      <c r="G145">
        <v>35999</v>
      </c>
      <c r="H145">
        <v>19</v>
      </c>
      <c r="I145">
        <v>4.4000000000000004</v>
      </c>
      <c r="J145">
        <v>190</v>
      </c>
      <c r="K145" t="s">
        <v>16</v>
      </c>
      <c r="L145">
        <v>836</v>
      </c>
      <c r="M145">
        <v>3612.375</v>
      </c>
      <c r="N145" t="s">
        <v>265</v>
      </c>
    </row>
    <row r="146" spans="1:14" x14ac:dyDescent="0.3">
      <c r="A146" t="s">
        <v>22</v>
      </c>
      <c r="B146" t="s">
        <v>260</v>
      </c>
      <c r="C146" t="s">
        <v>24</v>
      </c>
      <c r="D146">
        <v>512</v>
      </c>
      <c r="E146" t="s">
        <v>25</v>
      </c>
      <c r="F146">
        <v>102900</v>
      </c>
      <c r="G146" t="s">
        <v>26</v>
      </c>
      <c r="H146" t="s">
        <v>27</v>
      </c>
      <c r="I146">
        <v>4.5999999999999996</v>
      </c>
      <c r="J146">
        <v>359</v>
      </c>
      <c r="K146" t="s">
        <v>20</v>
      </c>
      <c r="L146">
        <v>1651.4</v>
      </c>
      <c r="M146">
        <v>0</v>
      </c>
      <c r="N146" t="s">
        <v>266</v>
      </c>
    </row>
    <row r="147" spans="1:14" x14ac:dyDescent="0.3">
      <c r="A147" t="s">
        <v>14</v>
      </c>
      <c r="B147" t="s">
        <v>267</v>
      </c>
      <c r="C147">
        <v>12</v>
      </c>
      <c r="D147">
        <v>256</v>
      </c>
      <c r="E147">
        <v>5000</v>
      </c>
      <c r="F147">
        <v>139999</v>
      </c>
      <c r="G147" t="s">
        <v>26</v>
      </c>
      <c r="H147" t="s">
        <v>27</v>
      </c>
      <c r="I147">
        <v>4.5999999999999996</v>
      </c>
      <c r="J147">
        <v>12</v>
      </c>
      <c r="K147" t="s">
        <v>20</v>
      </c>
      <c r="L147">
        <v>55.2</v>
      </c>
      <c r="M147">
        <v>11666.583333333299</v>
      </c>
      <c r="N147" t="s">
        <v>268</v>
      </c>
    </row>
    <row r="148" spans="1:14" x14ac:dyDescent="0.3">
      <c r="A148" t="s">
        <v>14</v>
      </c>
      <c r="B148" t="s">
        <v>269</v>
      </c>
      <c r="C148">
        <v>12</v>
      </c>
      <c r="D148">
        <v>256</v>
      </c>
      <c r="E148">
        <v>4000</v>
      </c>
      <c r="F148">
        <v>74999</v>
      </c>
      <c r="G148">
        <v>80999</v>
      </c>
      <c r="H148">
        <v>7</v>
      </c>
      <c r="I148">
        <v>4.5999999999999996</v>
      </c>
      <c r="J148">
        <v>328</v>
      </c>
      <c r="K148" t="s">
        <v>20</v>
      </c>
      <c r="L148">
        <v>1508.8</v>
      </c>
      <c r="M148">
        <v>6249.9166666666597</v>
      </c>
      <c r="N148" t="s">
        <v>270</v>
      </c>
    </row>
    <row r="149" spans="1:14" x14ac:dyDescent="0.3">
      <c r="A149" t="s">
        <v>29</v>
      </c>
      <c r="B149" t="s">
        <v>203</v>
      </c>
      <c r="C149">
        <v>4</v>
      </c>
      <c r="D149">
        <v>128</v>
      </c>
      <c r="E149">
        <v>5000</v>
      </c>
      <c r="F149">
        <v>9999</v>
      </c>
      <c r="G149">
        <v>13999</v>
      </c>
      <c r="H149">
        <v>28</v>
      </c>
      <c r="I149">
        <v>4.3</v>
      </c>
      <c r="J149">
        <v>1854</v>
      </c>
      <c r="K149" t="s">
        <v>34</v>
      </c>
      <c r="L149">
        <v>7972.2</v>
      </c>
      <c r="M149">
        <v>2499.75</v>
      </c>
      <c r="N149" t="s">
        <v>204</v>
      </c>
    </row>
    <row r="150" spans="1:14" x14ac:dyDescent="0.3">
      <c r="A150" t="s">
        <v>38</v>
      </c>
      <c r="B150" t="s">
        <v>70</v>
      </c>
      <c r="C150">
        <v>8</v>
      </c>
      <c r="D150">
        <v>256</v>
      </c>
      <c r="E150">
        <v>6000</v>
      </c>
      <c r="F150">
        <v>19635</v>
      </c>
      <c r="G150">
        <v>25999</v>
      </c>
      <c r="H150">
        <v>24</v>
      </c>
      <c r="I150">
        <v>4.5</v>
      </c>
      <c r="J150">
        <v>51</v>
      </c>
      <c r="K150" t="s">
        <v>16</v>
      </c>
      <c r="L150">
        <v>229.5</v>
      </c>
      <c r="M150">
        <v>2454.375</v>
      </c>
      <c r="N150" t="s">
        <v>271</v>
      </c>
    </row>
    <row r="151" spans="1:14" x14ac:dyDescent="0.3">
      <c r="A151" t="s">
        <v>29</v>
      </c>
      <c r="B151" t="s">
        <v>272</v>
      </c>
      <c r="C151">
        <v>4</v>
      </c>
      <c r="D151">
        <v>128</v>
      </c>
      <c r="E151">
        <v>5000</v>
      </c>
      <c r="F151">
        <v>12990</v>
      </c>
      <c r="G151">
        <v>14999</v>
      </c>
      <c r="H151">
        <v>13</v>
      </c>
      <c r="I151">
        <v>4.2</v>
      </c>
      <c r="J151">
        <v>1443</v>
      </c>
      <c r="K151" t="s">
        <v>34</v>
      </c>
      <c r="L151">
        <v>6060.6</v>
      </c>
      <c r="M151">
        <v>3247.5</v>
      </c>
      <c r="N151" t="s">
        <v>273</v>
      </c>
    </row>
    <row r="152" spans="1:14" x14ac:dyDescent="0.3">
      <c r="A152" t="s">
        <v>14</v>
      </c>
      <c r="B152" t="s">
        <v>274</v>
      </c>
      <c r="C152">
        <v>8</v>
      </c>
      <c r="D152">
        <v>256</v>
      </c>
      <c r="E152">
        <v>5000</v>
      </c>
      <c r="F152">
        <v>43999</v>
      </c>
      <c r="G152">
        <v>48999</v>
      </c>
      <c r="H152">
        <v>10</v>
      </c>
      <c r="I152">
        <v>4.4000000000000004</v>
      </c>
      <c r="J152">
        <v>57</v>
      </c>
      <c r="K152" t="s">
        <v>20</v>
      </c>
      <c r="L152">
        <v>250.8</v>
      </c>
      <c r="M152">
        <v>5499.875</v>
      </c>
      <c r="N152" t="s">
        <v>275</v>
      </c>
    </row>
    <row r="153" spans="1:14" x14ac:dyDescent="0.3">
      <c r="A153" t="s">
        <v>14</v>
      </c>
      <c r="B153" t="s">
        <v>276</v>
      </c>
      <c r="C153">
        <v>4</v>
      </c>
      <c r="D153">
        <v>64</v>
      </c>
      <c r="E153">
        <v>3000</v>
      </c>
      <c r="F153">
        <v>62500</v>
      </c>
      <c r="G153" t="s">
        <v>26</v>
      </c>
      <c r="H153" t="s">
        <v>27</v>
      </c>
      <c r="I153">
        <v>4.4000000000000004</v>
      </c>
      <c r="J153">
        <v>2502</v>
      </c>
      <c r="K153" t="s">
        <v>20</v>
      </c>
      <c r="L153">
        <v>11008.8</v>
      </c>
      <c r="M153">
        <v>15625</v>
      </c>
      <c r="N153" t="s">
        <v>277</v>
      </c>
    </row>
    <row r="154" spans="1:14" x14ac:dyDescent="0.3">
      <c r="A154" t="s">
        <v>22</v>
      </c>
      <c r="B154" t="s">
        <v>278</v>
      </c>
      <c r="C154" t="s">
        <v>24</v>
      </c>
      <c r="D154">
        <v>512</v>
      </c>
      <c r="E154" t="s">
        <v>25</v>
      </c>
      <c r="F154">
        <v>121900</v>
      </c>
      <c r="G154">
        <v>139900</v>
      </c>
      <c r="H154">
        <v>12</v>
      </c>
      <c r="I154">
        <v>4.7</v>
      </c>
      <c r="J154">
        <v>7</v>
      </c>
      <c r="K154" t="s">
        <v>20</v>
      </c>
      <c r="L154">
        <v>32.9</v>
      </c>
      <c r="M154">
        <v>0</v>
      </c>
      <c r="N154" t="s">
        <v>279</v>
      </c>
    </row>
    <row r="155" spans="1:14" x14ac:dyDescent="0.3">
      <c r="A155" t="s">
        <v>14</v>
      </c>
      <c r="B155" t="s">
        <v>15</v>
      </c>
      <c r="C155" t="s">
        <v>24</v>
      </c>
      <c r="D155">
        <v>128</v>
      </c>
      <c r="E155">
        <v>5000</v>
      </c>
      <c r="F155">
        <v>17999</v>
      </c>
      <c r="G155">
        <v>21499</v>
      </c>
      <c r="H155">
        <v>16</v>
      </c>
      <c r="I155">
        <v>4.2</v>
      </c>
      <c r="J155">
        <v>219</v>
      </c>
      <c r="K155" t="s">
        <v>16</v>
      </c>
      <c r="L155">
        <v>919.8</v>
      </c>
      <c r="M155">
        <v>0</v>
      </c>
      <c r="N155" t="s">
        <v>280</v>
      </c>
    </row>
    <row r="156" spans="1:14" x14ac:dyDescent="0.3">
      <c r="A156" t="s">
        <v>18</v>
      </c>
      <c r="B156" t="s">
        <v>281</v>
      </c>
      <c r="C156">
        <v>6</v>
      </c>
      <c r="D156">
        <v>128</v>
      </c>
      <c r="E156">
        <v>5000</v>
      </c>
      <c r="F156">
        <v>13999</v>
      </c>
      <c r="G156">
        <v>18999</v>
      </c>
      <c r="H156">
        <v>26</v>
      </c>
      <c r="I156">
        <v>4.2</v>
      </c>
      <c r="J156">
        <v>121</v>
      </c>
      <c r="K156" t="s">
        <v>34</v>
      </c>
      <c r="L156">
        <v>508.2</v>
      </c>
      <c r="M156">
        <v>2333.1666666666601</v>
      </c>
      <c r="N156" t="s">
        <v>282</v>
      </c>
    </row>
    <row r="157" spans="1:14" x14ac:dyDescent="0.3">
      <c r="A157" t="s">
        <v>14</v>
      </c>
      <c r="B157" t="s">
        <v>283</v>
      </c>
      <c r="C157">
        <v>4</v>
      </c>
      <c r="D157">
        <v>128</v>
      </c>
      <c r="E157">
        <v>6000</v>
      </c>
      <c r="F157">
        <v>10999</v>
      </c>
      <c r="G157">
        <v>15999</v>
      </c>
      <c r="H157">
        <v>31</v>
      </c>
      <c r="I157">
        <v>4.2</v>
      </c>
      <c r="J157">
        <v>15</v>
      </c>
      <c r="K157" t="s">
        <v>34</v>
      </c>
      <c r="L157">
        <v>63</v>
      </c>
      <c r="M157">
        <v>2749.75</v>
      </c>
      <c r="N157" t="s">
        <v>284</v>
      </c>
    </row>
    <row r="158" spans="1:14" x14ac:dyDescent="0.3">
      <c r="A158" t="s">
        <v>14</v>
      </c>
      <c r="B158" t="s">
        <v>285</v>
      </c>
      <c r="C158">
        <v>12</v>
      </c>
      <c r="D158">
        <v>256</v>
      </c>
      <c r="E158">
        <v>4400</v>
      </c>
      <c r="F158">
        <v>154999</v>
      </c>
      <c r="G158">
        <v>159999</v>
      </c>
      <c r="H158">
        <v>3</v>
      </c>
      <c r="I158">
        <v>4.5</v>
      </c>
      <c r="J158">
        <v>37</v>
      </c>
      <c r="K158" t="s">
        <v>20</v>
      </c>
      <c r="L158">
        <v>166.5</v>
      </c>
      <c r="M158">
        <v>12916.583333333299</v>
      </c>
      <c r="N158" t="s">
        <v>286</v>
      </c>
    </row>
    <row r="159" spans="1:14" x14ac:dyDescent="0.3">
      <c r="A159" t="s">
        <v>14</v>
      </c>
      <c r="B159" t="s">
        <v>287</v>
      </c>
      <c r="C159">
        <v>12</v>
      </c>
      <c r="D159">
        <v>512</v>
      </c>
      <c r="E159">
        <v>4400</v>
      </c>
      <c r="F159">
        <v>113999</v>
      </c>
      <c r="G159">
        <v>176999</v>
      </c>
      <c r="H159">
        <v>35</v>
      </c>
      <c r="I159">
        <v>4.2</v>
      </c>
      <c r="J159">
        <v>16</v>
      </c>
      <c r="K159" t="s">
        <v>20</v>
      </c>
      <c r="L159">
        <v>67.2</v>
      </c>
      <c r="M159">
        <v>9499.9166666666606</v>
      </c>
      <c r="N159" t="s">
        <v>288</v>
      </c>
    </row>
    <row r="160" spans="1:14" x14ac:dyDescent="0.3">
      <c r="A160" t="s">
        <v>29</v>
      </c>
      <c r="B160" t="s">
        <v>244</v>
      </c>
      <c r="C160">
        <v>6</v>
      </c>
      <c r="D160">
        <v>128</v>
      </c>
      <c r="E160">
        <v>5030</v>
      </c>
      <c r="F160">
        <v>12499</v>
      </c>
      <c r="G160">
        <v>17999</v>
      </c>
      <c r="H160">
        <v>30</v>
      </c>
      <c r="I160">
        <v>4.3</v>
      </c>
      <c r="J160">
        <v>2420</v>
      </c>
      <c r="K160" t="s">
        <v>34</v>
      </c>
      <c r="L160">
        <v>10406</v>
      </c>
      <c r="M160">
        <v>2083.1666666666601</v>
      </c>
      <c r="N160" t="s">
        <v>245</v>
      </c>
    </row>
    <row r="161" spans="1:21" x14ac:dyDescent="0.3">
      <c r="A161" t="s">
        <v>22</v>
      </c>
      <c r="B161" t="s">
        <v>289</v>
      </c>
      <c r="C161" t="s">
        <v>24</v>
      </c>
      <c r="D161">
        <v>128</v>
      </c>
      <c r="E161" t="s">
        <v>25</v>
      </c>
      <c r="F161">
        <v>134900</v>
      </c>
      <c r="G161" t="s">
        <v>26</v>
      </c>
      <c r="H161" t="s">
        <v>27</v>
      </c>
      <c r="I161">
        <v>4.7</v>
      </c>
      <c r="J161">
        <v>159</v>
      </c>
      <c r="K161" t="s">
        <v>20</v>
      </c>
      <c r="L161">
        <v>747.3</v>
      </c>
      <c r="M161">
        <v>0</v>
      </c>
      <c r="N161" t="s">
        <v>290</v>
      </c>
    </row>
    <row r="162" spans="1:21" x14ac:dyDescent="0.3">
      <c r="A162" t="s">
        <v>14</v>
      </c>
      <c r="B162" t="s">
        <v>291</v>
      </c>
      <c r="C162">
        <v>4</v>
      </c>
      <c r="D162">
        <v>64</v>
      </c>
      <c r="E162">
        <v>5000</v>
      </c>
      <c r="F162">
        <v>10900</v>
      </c>
      <c r="G162">
        <v>12499</v>
      </c>
      <c r="H162">
        <v>12</v>
      </c>
      <c r="I162">
        <v>4.0999999999999996</v>
      </c>
      <c r="J162">
        <v>28</v>
      </c>
      <c r="K162" t="s">
        <v>34</v>
      </c>
      <c r="L162">
        <v>114.799999999999</v>
      </c>
      <c r="M162">
        <v>2725</v>
      </c>
      <c r="N162" t="s">
        <v>292</v>
      </c>
    </row>
    <row r="163" spans="1:21" x14ac:dyDescent="0.3">
      <c r="A163" t="s">
        <v>29</v>
      </c>
      <c r="B163" t="s">
        <v>293</v>
      </c>
      <c r="C163">
        <v>4</v>
      </c>
      <c r="D163">
        <v>128</v>
      </c>
      <c r="E163">
        <v>5000</v>
      </c>
      <c r="F163">
        <v>8999</v>
      </c>
      <c r="G163">
        <v>10999</v>
      </c>
      <c r="H163">
        <v>18</v>
      </c>
      <c r="I163">
        <v>4.0999999999999996</v>
      </c>
      <c r="J163">
        <v>445</v>
      </c>
      <c r="K163" t="s">
        <v>34</v>
      </c>
      <c r="L163">
        <v>1824.5</v>
      </c>
      <c r="M163">
        <v>2249.75</v>
      </c>
      <c r="N163" t="s">
        <v>294</v>
      </c>
    </row>
    <row r="164" spans="1:21" x14ac:dyDescent="0.3">
      <c r="A164" t="s">
        <v>44</v>
      </c>
      <c r="B164" t="s">
        <v>295</v>
      </c>
      <c r="C164">
        <v>12</v>
      </c>
      <c r="D164">
        <v>256</v>
      </c>
      <c r="E164">
        <v>6000</v>
      </c>
      <c r="F164">
        <v>23988</v>
      </c>
      <c r="G164">
        <v>36999</v>
      </c>
      <c r="H164">
        <v>35</v>
      </c>
      <c r="I164">
        <v>4.4000000000000004</v>
      </c>
      <c r="J164">
        <v>104</v>
      </c>
      <c r="K164" t="s">
        <v>16</v>
      </c>
      <c r="L164">
        <v>457.6</v>
      </c>
      <c r="M164">
        <v>1999</v>
      </c>
      <c r="N164" t="s">
        <v>296</v>
      </c>
    </row>
    <row r="165" spans="1:21" x14ac:dyDescent="0.3">
      <c r="A165" t="s">
        <v>14</v>
      </c>
      <c r="B165" t="s">
        <v>297</v>
      </c>
      <c r="C165">
        <v>4</v>
      </c>
      <c r="D165">
        <v>64</v>
      </c>
      <c r="E165">
        <v>5000</v>
      </c>
      <c r="F165">
        <v>9999</v>
      </c>
      <c r="G165">
        <v>11499</v>
      </c>
      <c r="H165">
        <v>13</v>
      </c>
      <c r="I165">
        <v>4.0999999999999996</v>
      </c>
      <c r="J165">
        <v>30</v>
      </c>
      <c r="K165" t="s">
        <v>34</v>
      </c>
      <c r="L165">
        <v>123</v>
      </c>
      <c r="M165">
        <v>2499.75</v>
      </c>
      <c r="N165" t="s">
        <v>298</v>
      </c>
    </row>
    <row r="166" spans="1:21" x14ac:dyDescent="0.3">
      <c r="A166" t="s">
        <v>14</v>
      </c>
      <c r="B166" t="s">
        <v>299</v>
      </c>
      <c r="C166">
        <v>4</v>
      </c>
      <c r="D166">
        <v>64</v>
      </c>
      <c r="E166">
        <v>6000</v>
      </c>
      <c r="F166">
        <v>12999</v>
      </c>
      <c r="G166" t="s">
        <v>26</v>
      </c>
      <c r="H166" t="s">
        <v>27</v>
      </c>
      <c r="I166">
        <v>4.3</v>
      </c>
      <c r="J166">
        <v>23199</v>
      </c>
      <c r="K166" t="s">
        <v>34</v>
      </c>
      <c r="L166">
        <v>99755.7</v>
      </c>
      <c r="M166">
        <v>3249.75</v>
      </c>
      <c r="N166" t="s">
        <v>300</v>
      </c>
    </row>
    <row r="167" spans="1:21" x14ac:dyDescent="0.3">
      <c r="A167" t="s">
        <v>14</v>
      </c>
      <c r="B167" t="s">
        <v>301</v>
      </c>
      <c r="C167">
        <v>6</v>
      </c>
      <c r="D167">
        <v>128</v>
      </c>
      <c r="E167">
        <v>6000</v>
      </c>
      <c r="F167">
        <v>16999</v>
      </c>
      <c r="G167" t="s">
        <v>26</v>
      </c>
      <c r="H167" t="s">
        <v>27</v>
      </c>
      <c r="I167">
        <v>4.3</v>
      </c>
      <c r="J167">
        <v>5983</v>
      </c>
      <c r="K167" t="s">
        <v>16</v>
      </c>
      <c r="L167">
        <v>25726.9</v>
      </c>
      <c r="M167">
        <v>2833.1666666666601</v>
      </c>
      <c r="N167" t="s">
        <v>302</v>
      </c>
    </row>
    <row r="168" spans="1:21" x14ac:dyDescent="0.3">
      <c r="A168" t="s">
        <v>14</v>
      </c>
      <c r="B168" t="s">
        <v>303</v>
      </c>
      <c r="C168">
        <v>8</v>
      </c>
      <c r="D168">
        <v>128</v>
      </c>
      <c r="E168">
        <v>4000</v>
      </c>
      <c r="F168">
        <v>49999</v>
      </c>
      <c r="G168">
        <v>74999</v>
      </c>
      <c r="H168">
        <v>33</v>
      </c>
      <c r="I168">
        <v>4.5999999999999996</v>
      </c>
      <c r="J168">
        <v>476</v>
      </c>
      <c r="K168" t="s">
        <v>20</v>
      </c>
      <c r="L168">
        <v>2189.6</v>
      </c>
      <c r="M168">
        <v>6249.875</v>
      </c>
      <c r="N168" t="s">
        <v>304</v>
      </c>
    </row>
    <row r="169" spans="1:21" x14ac:dyDescent="0.3">
      <c r="A169" t="s">
        <v>18</v>
      </c>
      <c r="B169" t="s">
        <v>305</v>
      </c>
      <c r="C169">
        <v>8</v>
      </c>
      <c r="D169">
        <v>128</v>
      </c>
      <c r="E169">
        <v>5000</v>
      </c>
      <c r="F169">
        <v>19999</v>
      </c>
      <c r="G169">
        <v>25999</v>
      </c>
      <c r="H169">
        <v>23</v>
      </c>
      <c r="I169">
        <v>4.3</v>
      </c>
      <c r="J169">
        <v>79</v>
      </c>
      <c r="K169" t="s">
        <v>16</v>
      </c>
      <c r="L169">
        <v>339.7</v>
      </c>
      <c r="M169">
        <v>2499.875</v>
      </c>
      <c r="N169" t="s">
        <v>306</v>
      </c>
    </row>
    <row r="170" spans="1:21" x14ac:dyDescent="0.3">
      <c r="A170" t="s">
        <v>14</v>
      </c>
      <c r="B170" t="s">
        <v>307</v>
      </c>
      <c r="C170">
        <v>12</v>
      </c>
      <c r="D170">
        <v>512</v>
      </c>
      <c r="E170">
        <v>4300</v>
      </c>
      <c r="F170">
        <v>107999</v>
      </c>
      <c r="G170" t="s">
        <v>26</v>
      </c>
      <c r="H170" t="s">
        <v>27</v>
      </c>
      <c r="I170">
        <v>4.7</v>
      </c>
      <c r="J170">
        <v>2</v>
      </c>
      <c r="K170" t="s">
        <v>20</v>
      </c>
      <c r="L170">
        <v>9.4</v>
      </c>
      <c r="M170">
        <v>8999.9166666666606</v>
      </c>
      <c r="N170" t="s">
        <v>308</v>
      </c>
    </row>
    <row r="171" spans="1:21" x14ac:dyDescent="0.3">
      <c r="A171" t="s">
        <v>38</v>
      </c>
      <c r="B171" t="s">
        <v>309</v>
      </c>
      <c r="C171">
        <v>12</v>
      </c>
      <c r="D171">
        <v>256</v>
      </c>
      <c r="E171">
        <v>6000</v>
      </c>
      <c r="F171">
        <v>23999</v>
      </c>
      <c r="G171">
        <v>32999</v>
      </c>
      <c r="H171">
        <v>27</v>
      </c>
      <c r="I171">
        <v>4.4000000000000004</v>
      </c>
      <c r="J171">
        <v>311</v>
      </c>
      <c r="K171" t="s">
        <v>16</v>
      </c>
      <c r="L171">
        <v>1368.4</v>
      </c>
      <c r="M171">
        <v>1999.9166666666599</v>
      </c>
      <c r="N171" t="s">
        <v>310</v>
      </c>
    </row>
    <row r="172" spans="1:21" x14ac:dyDescent="0.3">
      <c r="A172" t="s">
        <v>18</v>
      </c>
      <c r="B172" t="s">
        <v>311</v>
      </c>
      <c r="C172">
        <v>8</v>
      </c>
      <c r="D172">
        <v>128</v>
      </c>
      <c r="E172">
        <v>5500</v>
      </c>
      <c r="F172">
        <v>25999</v>
      </c>
      <c r="G172">
        <v>32999</v>
      </c>
      <c r="H172">
        <v>21</v>
      </c>
      <c r="I172">
        <v>4.4000000000000004</v>
      </c>
      <c r="J172">
        <v>403</v>
      </c>
      <c r="K172" t="s">
        <v>16</v>
      </c>
      <c r="L172">
        <v>1773.2</v>
      </c>
      <c r="M172">
        <v>3249.875</v>
      </c>
      <c r="N172" t="s">
        <v>312</v>
      </c>
    </row>
    <row r="173" spans="1:21" x14ac:dyDescent="0.3">
      <c r="A173" t="s">
        <v>14</v>
      </c>
      <c r="B173" t="s">
        <v>313</v>
      </c>
      <c r="C173">
        <v>8</v>
      </c>
      <c r="D173">
        <v>512</v>
      </c>
      <c r="E173">
        <v>3700</v>
      </c>
      <c r="F173">
        <v>109999</v>
      </c>
      <c r="G173">
        <v>113999</v>
      </c>
      <c r="H173">
        <v>3</v>
      </c>
      <c r="I173">
        <v>4.4000000000000004</v>
      </c>
      <c r="J173">
        <v>51</v>
      </c>
      <c r="K173" t="s">
        <v>20</v>
      </c>
      <c r="L173">
        <v>224.4</v>
      </c>
      <c r="M173">
        <v>13749.875</v>
      </c>
      <c r="N173" t="s">
        <v>314</v>
      </c>
      <c r="S173" s="3" t="s">
        <v>691</v>
      </c>
      <c r="T173" s="4" t="s">
        <v>692</v>
      </c>
      <c r="U173" s="5" t="s">
        <v>693</v>
      </c>
    </row>
    <row r="174" spans="1:21" x14ac:dyDescent="0.3">
      <c r="A174" t="s">
        <v>14</v>
      </c>
      <c r="B174" t="s">
        <v>242</v>
      </c>
      <c r="C174">
        <v>8</v>
      </c>
      <c r="D174">
        <v>256</v>
      </c>
      <c r="E174">
        <v>5000</v>
      </c>
      <c r="F174">
        <v>24999</v>
      </c>
      <c r="G174">
        <v>27499</v>
      </c>
      <c r="H174">
        <v>9</v>
      </c>
      <c r="I174">
        <v>4.2</v>
      </c>
      <c r="J174">
        <v>361</v>
      </c>
      <c r="K174" t="s">
        <v>16</v>
      </c>
      <c r="L174">
        <v>1516.2</v>
      </c>
      <c r="M174">
        <v>3124.875</v>
      </c>
      <c r="N174" t="s">
        <v>315</v>
      </c>
      <c r="S174" s="1" t="s">
        <v>690</v>
      </c>
      <c r="T174" s="2">
        <f>CORREL(H2:H449,L2:L449)</f>
        <v>-7.7438711791532307E-3</v>
      </c>
      <c r="U174" s="2" t="s">
        <v>689</v>
      </c>
    </row>
    <row r="175" spans="1:21" x14ac:dyDescent="0.3">
      <c r="A175" t="s">
        <v>14</v>
      </c>
      <c r="B175" t="s">
        <v>316</v>
      </c>
      <c r="C175">
        <v>8</v>
      </c>
      <c r="D175">
        <v>128</v>
      </c>
      <c r="E175">
        <v>5000</v>
      </c>
      <c r="F175">
        <v>22907</v>
      </c>
      <c r="G175">
        <v>30999</v>
      </c>
      <c r="H175">
        <v>26</v>
      </c>
      <c r="I175">
        <v>4.4000000000000004</v>
      </c>
      <c r="J175">
        <v>18</v>
      </c>
      <c r="K175" t="s">
        <v>16</v>
      </c>
      <c r="L175">
        <v>79.2</v>
      </c>
      <c r="M175">
        <v>2863.375</v>
      </c>
      <c r="N175" t="s">
        <v>317</v>
      </c>
      <c r="S175" s="1"/>
      <c r="T175" s="2"/>
      <c r="U175" s="2"/>
    </row>
    <row r="176" spans="1:21" x14ac:dyDescent="0.3">
      <c r="A176" t="s">
        <v>38</v>
      </c>
      <c r="B176" t="s">
        <v>318</v>
      </c>
      <c r="C176">
        <v>8</v>
      </c>
      <c r="D176">
        <v>128</v>
      </c>
      <c r="E176">
        <v>7000</v>
      </c>
      <c r="F176">
        <v>30999</v>
      </c>
      <c r="G176">
        <v>35999</v>
      </c>
      <c r="H176">
        <v>13</v>
      </c>
      <c r="I176">
        <v>4.3</v>
      </c>
      <c r="J176">
        <v>805</v>
      </c>
      <c r="K176" t="s">
        <v>16</v>
      </c>
      <c r="L176">
        <v>3461.5</v>
      </c>
      <c r="M176">
        <v>3874.875</v>
      </c>
      <c r="N176" t="s">
        <v>319</v>
      </c>
    </row>
    <row r="177" spans="1:14" x14ac:dyDescent="0.3">
      <c r="A177" t="s">
        <v>22</v>
      </c>
      <c r="B177" t="s">
        <v>320</v>
      </c>
      <c r="C177" t="s">
        <v>24</v>
      </c>
      <c r="D177">
        <v>128</v>
      </c>
      <c r="E177" t="s">
        <v>25</v>
      </c>
      <c r="F177">
        <v>59900</v>
      </c>
      <c r="G177" t="s">
        <v>26</v>
      </c>
      <c r="H177" t="s">
        <v>27</v>
      </c>
      <c r="I177">
        <v>4.5</v>
      </c>
      <c r="J177">
        <v>116</v>
      </c>
      <c r="K177" t="s">
        <v>20</v>
      </c>
      <c r="L177">
        <v>522</v>
      </c>
      <c r="M177">
        <v>0</v>
      </c>
      <c r="N177" t="s">
        <v>321</v>
      </c>
    </row>
    <row r="178" spans="1:14" x14ac:dyDescent="0.3">
      <c r="A178" t="s">
        <v>29</v>
      </c>
      <c r="B178" t="s">
        <v>322</v>
      </c>
      <c r="C178">
        <v>8</v>
      </c>
      <c r="D178">
        <v>256</v>
      </c>
      <c r="E178">
        <v>5000</v>
      </c>
      <c r="F178">
        <v>18499</v>
      </c>
      <c r="G178">
        <v>23999</v>
      </c>
      <c r="H178">
        <v>22</v>
      </c>
      <c r="I178">
        <v>4.0999999999999996</v>
      </c>
      <c r="J178">
        <v>443</v>
      </c>
      <c r="K178" t="s">
        <v>16</v>
      </c>
      <c r="L178">
        <v>1816.3</v>
      </c>
      <c r="M178">
        <v>2312.375</v>
      </c>
      <c r="N178" t="s">
        <v>323</v>
      </c>
    </row>
    <row r="179" spans="1:14" x14ac:dyDescent="0.3">
      <c r="A179" t="s">
        <v>18</v>
      </c>
      <c r="B179" t="s">
        <v>131</v>
      </c>
      <c r="C179">
        <v>8</v>
      </c>
      <c r="D179">
        <v>128</v>
      </c>
      <c r="E179">
        <v>6500</v>
      </c>
      <c r="F179">
        <v>34999</v>
      </c>
      <c r="G179">
        <v>41999</v>
      </c>
      <c r="H179">
        <v>16</v>
      </c>
      <c r="I179">
        <v>4.5</v>
      </c>
      <c r="J179">
        <v>262</v>
      </c>
      <c r="K179" t="s">
        <v>16</v>
      </c>
      <c r="L179">
        <v>1179</v>
      </c>
      <c r="M179">
        <v>4374.875</v>
      </c>
      <c r="N179" t="s">
        <v>324</v>
      </c>
    </row>
    <row r="180" spans="1:14" x14ac:dyDescent="0.3">
      <c r="A180" t="s">
        <v>14</v>
      </c>
      <c r="B180" t="s">
        <v>287</v>
      </c>
      <c r="C180">
        <v>12</v>
      </c>
      <c r="D180">
        <v>256</v>
      </c>
      <c r="E180">
        <v>4400</v>
      </c>
      <c r="F180">
        <v>149999</v>
      </c>
      <c r="G180">
        <v>164999</v>
      </c>
      <c r="H180">
        <v>9</v>
      </c>
      <c r="I180">
        <v>4.2</v>
      </c>
      <c r="J180">
        <v>16</v>
      </c>
      <c r="K180" t="s">
        <v>20</v>
      </c>
      <c r="L180">
        <v>67.2</v>
      </c>
      <c r="M180">
        <v>12499.916666666601</v>
      </c>
      <c r="N180" t="s">
        <v>325</v>
      </c>
    </row>
    <row r="181" spans="1:14" x14ac:dyDescent="0.3">
      <c r="A181" t="s">
        <v>38</v>
      </c>
      <c r="B181" t="s">
        <v>152</v>
      </c>
      <c r="C181">
        <v>6</v>
      </c>
      <c r="D181">
        <v>128</v>
      </c>
      <c r="E181">
        <v>6000</v>
      </c>
      <c r="F181">
        <v>15999</v>
      </c>
      <c r="G181">
        <v>19999</v>
      </c>
      <c r="H181">
        <v>20</v>
      </c>
      <c r="I181">
        <v>4.4000000000000004</v>
      </c>
      <c r="J181">
        <v>2154</v>
      </c>
      <c r="K181" t="s">
        <v>16</v>
      </c>
      <c r="L181">
        <v>9477.6</v>
      </c>
      <c r="M181">
        <v>2666.5</v>
      </c>
      <c r="N181" t="s">
        <v>153</v>
      </c>
    </row>
    <row r="182" spans="1:14" x14ac:dyDescent="0.3">
      <c r="A182" t="s">
        <v>44</v>
      </c>
      <c r="B182" t="s">
        <v>146</v>
      </c>
      <c r="C182">
        <v>12</v>
      </c>
      <c r="D182">
        <v>512</v>
      </c>
      <c r="E182">
        <v>6000</v>
      </c>
      <c r="F182">
        <v>47999</v>
      </c>
      <c r="G182" t="s">
        <v>26</v>
      </c>
      <c r="H182" t="s">
        <v>27</v>
      </c>
      <c r="I182">
        <v>4.5</v>
      </c>
      <c r="J182">
        <v>360</v>
      </c>
      <c r="K182" t="s">
        <v>20</v>
      </c>
      <c r="L182">
        <v>1620</v>
      </c>
      <c r="M182">
        <v>3999.9166666666601</v>
      </c>
      <c r="N182" t="s">
        <v>326</v>
      </c>
    </row>
    <row r="183" spans="1:14" x14ac:dyDescent="0.3">
      <c r="A183" t="s">
        <v>29</v>
      </c>
      <c r="B183">
        <v>12</v>
      </c>
      <c r="C183">
        <v>6</v>
      </c>
      <c r="D183">
        <v>128</v>
      </c>
      <c r="E183">
        <v>5000</v>
      </c>
      <c r="F183">
        <v>9999</v>
      </c>
      <c r="G183">
        <v>15999</v>
      </c>
      <c r="H183">
        <v>37</v>
      </c>
      <c r="I183">
        <v>4.2</v>
      </c>
      <c r="J183">
        <v>4393</v>
      </c>
      <c r="K183" t="s">
        <v>34</v>
      </c>
      <c r="L183">
        <v>18450.599999999999</v>
      </c>
      <c r="M183">
        <v>1666.5</v>
      </c>
      <c r="N183" t="s">
        <v>327</v>
      </c>
    </row>
    <row r="184" spans="1:14" x14ac:dyDescent="0.3">
      <c r="A184" t="s">
        <v>44</v>
      </c>
      <c r="B184" t="s">
        <v>146</v>
      </c>
      <c r="C184">
        <v>8</v>
      </c>
      <c r="D184">
        <v>256</v>
      </c>
      <c r="E184">
        <v>6000</v>
      </c>
      <c r="F184">
        <v>42999</v>
      </c>
      <c r="G184" t="s">
        <v>26</v>
      </c>
      <c r="H184" t="s">
        <v>27</v>
      </c>
      <c r="I184">
        <v>4.5</v>
      </c>
      <c r="J184">
        <v>450</v>
      </c>
      <c r="K184" t="s">
        <v>20</v>
      </c>
      <c r="L184">
        <v>2025</v>
      </c>
      <c r="M184">
        <v>5374.875</v>
      </c>
      <c r="N184" t="s">
        <v>147</v>
      </c>
    </row>
    <row r="185" spans="1:14" x14ac:dyDescent="0.3">
      <c r="A185" t="s">
        <v>38</v>
      </c>
      <c r="B185" t="s">
        <v>328</v>
      </c>
      <c r="C185">
        <v>8</v>
      </c>
      <c r="D185">
        <v>128</v>
      </c>
      <c r="E185">
        <v>5000</v>
      </c>
      <c r="F185">
        <v>12999</v>
      </c>
      <c r="G185">
        <v>14999</v>
      </c>
      <c r="H185">
        <v>13</v>
      </c>
      <c r="I185">
        <v>4.4000000000000004</v>
      </c>
      <c r="J185">
        <v>148</v>
      </c>
      <c r="K185" t="s">
        <v>34</v>
      </c>
      <c r="L185">
        <v>651.20000000000005</v>
      </c>
      <c r="M185">
        <v>1624.875</v>
      </c>
      <c r="N185" t="s">
        <v>329</v>
      </c>
    </row>
    <row r="186" spans="1:14" x14ac:dyDescent="0.3">
      <c r="A186" t="s">
        <v>14</v>
      </c>
      <c r="B186" t="s">
        <v>269</v>
      </c>
      <c r="C186">
        <v>12</v>
      </c>
      <c r="D186">
        <v>512</v>
      </c>
      <c r="E186">
        <v>4000</v>
      </c>
      <c r="F186">
        <v>86999</v>
      </c>
      <c r="G186">
        <v>92999</v>
      </c>
      <c r="H186">
        <v>6</v>
      </c>
      <c r="I186">
        <v>4.5999999999999996</v>
      </c>
      <c r="J186">
        <v>328</v>
      </c>
      <c r="K186" t="s">
        <v>20</v>
      </c>
      <c r="L186">
        <v>1508.8</v>
      </c>
      <c r="M186">
        <v>7249.9166666666597</v>
      </c>
      <c r="N186" t="s">
        <v>330</v>
      </c>
    </row>
    <row r="187" spans="1:14" x14ac:dyDescent="0.3">
      <c r="A187" t="s">
        <v>22</v>
      </c>
      <c r="B187" t="s">
        <v>278</v>
      </c>
      <c r="C187" t="s">
        <v>24</v>
      </c>
      <c r="D187">
        <v>256</v>
      </c>
      <c r="E187" t="s">
        <v>25</v>
      </c>
      <c r="F187">
        <v>101900</v>
      </c>
      <c r="G187">
        <v>119900</v>
      </c>
      <c r="H187">
        <v>15</v>
      </c>
      <c r="I187">
        <v>4.7</v>
      </c>
      <c r="J187">
        <v>7</v>
      </c>
      <c r="K187" t="s">
        <v>20</v>
      </c>
      <c r="L187">
        <v>32.9</v>
      </c>
      <c r="M187">
        <v>0</v>
      </c>
      <c r="N187" t="s">
        <v>331</v>
      </c>
    </row>
    <row r="188" spans="1:14" x14ac:dyDescent="0.3">
      <c r="A188" t="s">
        <v>38</v>
      </c>
      <c r="B188" t="s">
        <v>309</v>
      </c>
      <c r="C188">
        <v>8</v>
      </c>
      <c r="D188">
        <v>256</v>
      </c>
      <c r="E188">
        <v>6000</v>
      </c>
      <c r="F188">
        <v>21999</v>
      </c>
      <c r="G188">
        <v>30999</v>
      </c>
      <c r="H188">
        <v>29</v>
      </c>
      <c r="I188">
        <v>4.4000000000000004</v>
      </c>
      <c r="J188">
        <v>1420</v>
      </c>
      <c r="K188" t="s">
        <v>16</v>
      </c>
      <c r="L188">
        <v>6248</v>
      </c>
      <c r="M188">
        <v>2749.875</v>
      </c>
      <c r="N188" t="s">
        <v>332</v>
      </c>
    </row>
    <row r="189" spans="1:14" x14ac:dyDescent="0.3">
      <c r="A189" t="s">
        <v>14</v>
      </c>
      <c r="B189" t="s">
        <v>15</v>
      </c>
      <c r="C189">
        <v>8</v>
      </c>
      <c r="D189">
        <v>256</v>
      </c>
      <c r="E189">
        <v>5000</v>
      </c>
      <c r="F189">
        <v>16861</v>
      </c>
      <c r="G189">
        <v>24499</v>
      </c>
      <c r="H189">
        <v>31</v>
      </c>
      <c r="I189">
        <v>4.2</v>
      </c>
      <c r="J189">
        <v>219</v>
      </c>
      <c r="K189" t="s">
        <v>16</v>
      </c>
      <c r="L189">
        <v>919.8</v>
      </c>
      <c r="M189">
        <v>2107.625</v>
      </c>
      <c r="N189" t="s">
        <v>333</v>
      </c>
    </row>
    <row r="190" spans="1:14" x14ac:dyDescent="0.3">
      <c r="A190" t="s">
        <v>44</v>
      </c>
      <c r="B190" t="s">
        <v>189</v>
      </c>
      <c r="C190">
        <v>12</v>
      </c>
      <c r="D190">
        <v>512</v>
      </c>
      <c r="E190">
        <v>6200</v>
      </c>
      <c r="F190">
        <v>49978</v>
      </c>
      <c r="G190">
        <v>60999</v>
      </c>
      <c r="H190">
        <v>18</v>
      </c>
      <c r="I190">
        <v>4.5</v>
      </c>
      <c r="J190">
        <v>212</v>
      </c>
      <c r="K190" t="s">
        <v>20</v>
      </c>
      <c r="L190">
        <v>954</v>
      </c>
      <c r="M190">
        <v>4164.8333333333303</v>
      </c>
      <c r="N190" t="s">
        <v>334</v>
      </c>
    </row>
    <row r="191" spans="1:14" x14ac:dyDescent="0.3">
      <c r="A191" t="s">
        <v>22</v>
      </c>
      <c r="B191" t="s">
        <v>93</v>
      </c>
      <c r="C191" t="s">
        <v>24</v>
      </c>
      <c r="D191">
        <v>64</v>
      </c>
      <c r="E191" t="s">
        <v>25</v>
      </c>
      <c r="F191">
        <v>106600</v>
      </c>
      <c r="G191" t="s">
        <v>26</v>
      </c>
      <c r="H191" t="s">
        <v>27</v>
      </c>
      <c r="I191">
        <v>4.5999999999999996</v>
      </c>
      <c r="J191">
        <v>618</v>
      </c>
      <c r="K191" t="s">
        <v>20</v>
      </c>
      <c r="L191">
        <v>2842.8</v>
      </c>
      <c r="M191">
        <v>0</v>
      </c>
      <c r="N191" t="s">
        <v>335</v>
      </c>
    </row>
    <row r="192" spans="1:14" x14ac:dyDescent="0.3">
      <c r="A192" t="s">
        <v>44</v>
      </c>
      <c r="B192" t="s">
        <v>336</v>
      </c>
      <c r="C192">
        <v>8</v>
      </c>
      <c r="D192">
        <v>256</v>
      </c>
      <c r="E192">
        <v>5000</v>
      </c>
      <c r="F192">
        <v>19999</v>
      </c>
      <c r="G192">
        <v>30999</v>
      </c>
      <c r="H192">
        <v>35</v>
      </c>
      <c r="I192">
        <v>4.3</v>
      </c>
      <c r="J192">
        <v>496</v>
      </c>
      <c r="K192" t="s">
        <v>16</v>
      </c>
      <c r="L192">
        <v>2132.8000000000002</v>
      </c>
      <c r="M192">
        <v>2499.875</v>
      </c>
      <c r="N192" t="s">
        <v>337</v>
      </c>
    </row>
    <row r="193" spans="1:14" x14ac:dyDescent="0.3">
      <c r="A193" t="s">
        <v>14</v>
      </c>
      <c r="B193" t="s">
        <v>90</v>
      </c>
      <c r="C193">
        <v>12</v>
      </c>
      <c r="D193">
        <v>256</v>
      </c>
      <c r="E193">
        <v>5000</v>
      </c>
      <c r="F193">
        <v>102999</v>
      </c>
      <c r="G193">
        <v>129999</v>
      </c>
      <c r="H193">
        <v>20</v>
      </c>
      <c r="I193">
        <v>4.5999999999999996</v>
      </c>
      <c r="J193">
        <v>275</v>
      </c>
      <c r="K193" t="s">
        <v>20</v>
      </c>
      <c r="L193">
        <v>1265</v>
      </c>
      <c r="M193">
        <v>8583.25</v>
      </c>
      <c r="N193" t="s">
        <v>338</v>
      </c>
    </row>
    <row r="194" spans="1:14" x14ac:dyDescent="0.3">
      <c r="A194" t="s">
        <v>14</v>
      </c>
      <c r="B194" t="s">
        <v>339</v>
      </c>
      <c r="C194">
        <v>6</v>
      </c>
      <c r="D194">
        <v>128</v>
      </c>
      <c r="E194">
        <v>6000</v>
      </c>
      <c r="F194">
        <v>13999</v>
      </c>
      <c r="G194">
        <v>24499</v>
      </c>
      <c r="H194">
        <v>42</v>
      </c>
      <c r="I194">
        <v>4.3</v>
      </c>
      <c r="J194">
        <v>357</v>
      </c>
      <c r="K194" t="s">
        <v>34</v>
      </c>
      <c r="L194">
        <v>1535.1</v>
      </c>
      <c r="M194">
        <v>2333.1666666666601</v>
      </c>
      <c r="N194" t="s">
        <v>340</v>
      </c>
    </row>
    <row r="195" spans="1:14" x14ac:dyDescent="0.3">
      <c r="A195" t="s">
        <v>38</v>
      </c>
      <c r="B195" t="s">
        <v>341</v>
      </c>
      <c r="C195">
        <v>8</v>
      </c>
      <c r="D195">
        <v>128</v>
      </c>
      <c r="E195">
        <v>6000</v>
      </c>
      <c r="F195">
        <v>17890</v>
      </c>
      <c r="G195">
        <v>20999</v>
      </c>
      <c r="H195">
        <v>14</v>
      </c>
      <c r="I195">
        <v>4.3</v>
      </c>
      <c r="J195">
        <v>163</v>
      </c>
      <c r="K195" t="s">
        <v>16</v>
      </c>
      <c r="L195">
        <v>700.9</v>
      </c>
      <c r="M195">
        <v>2236.25</v>
      </c>
      <c r="N195" t="s">
        <v>342</v>
      </c>
    </row>
    <row r="196" spans="1:14" x14ac:dyDescent="0.3">
      <c r="A196" t="s">
        <v>29</v>
      </c>
      <c r="B196" t="s">
        <v>343</v>
      </c>
      <c r="C196">
        <v>4</v>
      </c>
      <c r="D196">
        <v>64</v>
      </c>
      <c r="E196">
        <v>4100</v>
      </c>
      <c r="F196">
        <v>9999</v>
      </c>
      <c r="G196">
        <v>13499</v>
      </c>
      <c r="H196">
        <v>25</v>
      </c>
      <c r="K196" t="s">
        <v>34</v>
      </c>
      <c r="M196">
        <v>2499.75</v>
      </c>
      <c r="N196" t="s">
        <v>344</v>
      </c>
    </row>
    <row r="197" spans="1:14" x14ac:dyDescent="0.3">
      <c r="A197" t="s">
        <v>38</v>
      </c>
      <c r="B197" t="s">
        <v>345</v>
      </c>
      <c r="C197">
        <v>8</v>
      </c>
      <c r="D197">
        <v>128</v>
      </c>
      <c r="E197">
        <v>4035</v>
      </c>
      <c r="F197">
        <v>15539</v>
      </c>
      <c r="G197">
        <v>15999</v>
      </c>
      <c r="H197">
        <v>2</v>
      </c>
      <c r="I197">
        <v>4.5</v>
      </c>
      <c r="J197">
        <v>7775</v>
      </c>
      <c r="K197" t="s">
        <v>16</v>
      </c>
      <c r="L197">
        <v>34987.5</v>
      </c>
      <c r="M197">
        <v>1942.375</v>
      </c>
      <c r="N197" t="s">
        <v>346</v>
      </c>
    </row>
    <row r="198" spans="1:14" x14ac:dyDescent="0.3">
      <c r="A198" t="s">
        <v>44</v>
      </c>
      <c r="B198" t="s">
        <v>347</v>
      </c>
      <c r="C198">
        <v>4</v>
      </c>
      <c r="D198">
        <v>128</v>
      </c>
      <c r="E198">
        <v>5000</v>
      </c>
      <c r="F198">
        <v>15999</v>
      </c>
      <c r="G198" t="s">
        <v>26</v>
      </c>
      <c r="H198" t="s">
        <v>27</v>
      </c>
      <c r="I198">
        <v>4.3</v>
      </c>
      <c r="J198">
        <v>81</v>
      </c>
      <c r="K198" t="s">
        <v>16</v>
      </c>
      <c r="L198">
        <v>348.3</v>
      </c>
      <c r="M198">
        <v>3999.75</v>
      </c>
      <c r="N198" t="s">
        <v>348</v>
      </c>
    </row>
    <row r="199" spans="1:14" x14ac:dyDescent="0.3">
      <c r="A199" t="s">
        <v>38</v>
      </c>
      <c r="B199" t="s">
        <v>105</v>
      </c>
      <c r="C199">
        <v>8</v>
      </c>
      <c r="D199">
        <v>256</v>
      </c>
      <c r="E199">
        <v>7000</v>
      </c>
      <c r="F199">
        <v>30999</v>
      </c>
      <c r="G199">
        <v>31999</v>
      </c>
      <c r="H199">
        <v>3</v>
      </c>
      <c r="I199">
        <v>4.4000000000000004</v>
      </c>
      <c r="J199">
        <v>901</v>
      </c>
      <c r="K199" t="s">
        <v>16</v>
      </c>
      <c r="L199">
        <v>3964.4</v>
      </c>
      <c r="M199">
        <v>3874.875</v>
      </c>
      <c r="N199" t="s">
        <v>349</v>
      </c>
    </row>
    <row r="200" spans="1:14" x14ac:dyDescent="0.3">
      <c r="A200" t="s">
        <v>44</v>
      </c>
      <c r="B200" t="s">
        <v>350</v>
      </c>
      <c r="C200">
        <v>8</v>
      </c>
      <c r="D200">
        <v>256</v>
      </c>
      <c r="E200">
        <v>5800</v>
      </c>
      <c r="F200">
        <v>19998</v>
      </c>
      <c r="G200">
        <v>23999</v>
      </c>
      <c r="H200">
        <v>16</v>
      </c>
      <c r="I200">
        <v>4.3</v>
      </c>
      <c r="J200">
        <v>26</v>
      </c>
      <c r="K200" t="s">
        <v>16</v>
      </c>
      <c r="L200">
        <v>111.8</v>
      </c>
      <c r="M200">
        <v>2499.75</v>
      </c>
      <c r="N200" t="s">
        <v>351</v>
      </c>
    </row>
    <row r="201" spans="1:14" x14ac:dyDescent="0.3">
      <c r="A201" t="s">
        <v>44</v>
      </c>
      <c r="B201" t="s">
        <v>352</v>
      </c>
      <c r="C201">
        <v>4</v>
      </c>
      <c r="D201">
        <v>128</v>
      </c>
      <c r="E201">
        <v>5000</v>
      </c>
      <c r="F201">
        <v>11495</v>
      </c>
      <c r="G201">
        <v>16999</v>
      </c>
      <c r="H201">
        <v>32</v>
      </c>
      <c r="I201">
        <v>4.3</v>
      </c>
      <c r="J201">
        <v>80</v>
      </c>
      <c r="K201" t="s">
        <v>34</v>
      </c>
      <c r="L201">
        <v>344</v>
      </c>
      <c r="M201">
        <v>2873.75</v>
      </c>
      <c r="N201" t="s">
        <v>353</v>
      </c>
    </row>
    <row r="202" spans="1:14" x14ac:dyDescent="0.3">
      <c r="A202" t="s">
        <v>44</v>
      </c>
      <c r="B202" t="s">
        <v>354</v>
      </c>
      <c r="C202">
        <v>8</v>
      </c>
      <c r="D202">
        <v>256</v>
      </c>
      <c r="E202">
        <v>7000</v>
      </c>
      <c r="F202">
        <v>28999</v>
      </c>
      <c r="G202">
        <v>29999</v>
      </c>
      <c r="H202">
        <v>3</v>
      </c>
      <c r="I202">
        <v>4.3</v>
      </c>
      <c r="J202">
        <v>100</v>
      </c>
      <c r="K202" t="s">
        <v>16</v>
      </c>
      <c r="L202">
        <v>430</v>
      </c>
      <c r="M202">
        <v>3624.875</v>
      </c>
      <c r="N202" t="s">
        <v>355</v>
      </c>
    </row>
    <row r="203" spans="1:14" x14ac:dyDescent="0.3">
      <c r="A203" t="s">
        <v>22</v>
      </c>
      <c r="B203" t="s">
        <v>356</v>
      </c>
      <c r="C203" t="s">
        <v>24</v>
      </c>
      <c r="D203">
        <v>128</v>
      </c>
      <c r="E203" t="s">
        <v>25</v>
      </c>
      <c r="F203">
        <v>55999</v>
      </c>
      <c r="G203">
        <v>60000</v>
      </c>
      <c r="H203">
        <v>6</v>
      </c>
      <c r="I203">
        <v>4.5</v>
      </c>
      <c r="J203">
        <v>9127</v>
      </c>
      <c r="K203" t="s">
        <v>20</v>
      </c>
      <c r="L203">
        <v>41071.5</v>
      </c>
      <c r="M203">
        <v>0</v>
      </c>
      <c r="N203" t="s">
        <v>357</v>
      </c>
    </row>
    <row r="204" spans="1:14" x14ac:dyDescent="0.3">
      <c r="A204" t="s">
        <v>38</v>
      </c>
      <c r="B204" t="s">
        <v>72</v>
      </c>
      <c r="C204">
        <v>16</v>
      </c>
      <c r="D204">
        <v>512</v>
      </c>
      <c r="E204">
        <v>5500</v>
      </c>
      <c r="F204">
        <v>32999</v>
      </c>
      <c r="G204">
        <v>51999</v>
      </c>
      <c r="H204">
        <v>36</v>
      </c>
      <c r="I204">
        <v>4.5</v>
      </c>
      <c r="J204">
        <v>599</v>
      </c>
      <c r="K204" t="s">
        <v>16</v>
      </c>
      <c r="L204">
        <v>2695.5</v>
      </c>
      <c r="M204">
        <v>2062.4375</v>
      </c>
      <c r="N204" t="s">
        <v>358</v>
      </c>
    </row>
    <row r="205" spans="1:14" x14ac:dyDescent="0.3">
      <c r="A205" t="s">
        <v>29</v>
      </c>
      <c r="B205" t="s">
        <v>293</v>
      </c>
      <c r="C205">
        <v>3</v>
      </c>
      <c r="D205">
        <v>64</v>
      </c>
      <c r="E205">
        <v>5000</v>
      </c>
      <c r="F205">
        <v>5999</v>
      </c>
      <c r="G205">
        <v>9999</v>
      </c>
      <c r="H205">
        <v>40</v>
      </c>
      <c r="I205">
        <v>4</v>
      </c>
      <c r="J205">
        <v>578</v>
      </c>
      <c r="K205" t="s">
        <v>34</v>
      </c>
      <c r="L205">
        <v>2312</v>
      </c>
      <c r="M205">
        <v>1999.6666666666599</v>
      </c>
      <c r="N205" t="s">
        <v>359</v>
      </c>
    </row>
    <row r="206" spans="1:14" x14ac:dyDescent="0.3">
      <c r="A206" t="s">
        <v>38</v>
      </c>
      <c r="B206" t="s">
        <v>360</v>
      </c>
      <c r="C206">
        <v>4</v>
      </c>
      <c r="D206">
        <v>128</v>
      </c>
      <c r="E206">
        <v>6000</v>
      </c>
      <c r="F206">
        <v>13770</v>
      </c>
      <c r="G206">
        <v>15999</v>
      </c>
      <c r="H206">
        <v>13</v>
      </c>
      <c r="I206">
        <v>4.2</v>
      </c>
      <c r="J206">
        <v>72</v>
      </c>
      <c r="K206" t="s">
        <v>34</v>
      </c>
      <c r="L206">
        <v>302.39999999999998</v>
      </c>
      <c r="M206">
        <v>3442.5</v>
      </c>
      <c r="N206" t="s">
        <v>361</v>
      </c>
    </row>
    <row r="207" spans="1:14" x14ac:dyDescent="0.3">
      <c r="A207" t="s">
        <v>18</v>
      </c>
      <c r="B207" t="s">
        <v>362</v>
      </c>
      <c r="C207">
        <v>16</v>
      </c>
      <c r="D207">
        <v>512</v>
      </c>
      <c r="E207">
        <v>5000</v>
      </c>
      <c r="F207">
        <v>52999</v>
      </c>
      <c r="G207">
        <v>74999</v>
      </c>
      <c r="H207">
        <v>29</v>
      </c>
      <c r="I207">
        <v>4.5999999999999996</v>
      </c>
      <c r="J207">
        <v>66</v>
      </c>
      <c r="K207" t="s">
        <v>20</v>
      </c>
      <c r="L207">
        <v>303.60000000000002</v>
      </c>
      <c r="M207">
        <v>3312.4375</v>
      </c>
      <c r="N207" t="s">
        <v>363</v>
      </c>
    </row>
    <row r="208" spans="1:14" x14ac:dyDescent="0.3">
      <c r="A208" t="s">
        <v>38</v>
      </c>
      <c r="B208" t="s">
        <v>244</v>
      </c>
      <c r="C208">
        <v>8</v>
      </c>
      <c r="D208">
        <v>128</v>
      </c>
      <c r="E208">
        <v>5000</v>
      </c>
      <c r="F208">
        <v>19688</v>
      </c>
      <c r="G208">
        <v>21999</v>
      </c>
      <c r="H208">
        <v>10</v>
      </c>
      <c r="I208">
        <v>4.3</v>
      </c>
      <c r="J208">
        <v>68</v>
      </c>
      <c r="K208" t="s">
        <v>16</v>
      </c>
      <c r="L208">
        <v>292.39999999999998</v>
      </c>
      <c r="M208">
        <v>2461</v>
      </c>
      <c r="N208" t="s">
        <v>364</v>
      </c>
    </row>
    <row r="209" spans="1:14" x14ac:dyDescent="0.3">
      <c r="A209" t="s">
        <v>29</v>
      </c>
      <c r="B209" t="s">
        <v>365</v>
      </c>
      <c r="C209">
        <v>8</v>
      </c>
      <c r="D209">
        <v>256</v>
      </c>
      <c r="E209">
        <v>5000</v>
      </c>
      <c r="F209">
        <v>14499</v>
      </c>
      <c r="G209">
        <v>19999</v>
      </c>
      <c r="H209">
        <v>27</v>
      </c>
      <c r="I209">
        <v>4.2</v>
      </c>
      <c r="J209">
        <v>2272</v>
      </c>
      <c r="K209" t="s">
        <v>34</v>
      </c>
      <c r="L209">
        <v>9542.4</v>
      </c>
      <c r="M209">
        <v>1812.375</v>
      </c>
      <c r="N209" t="s">
        <v>366</v>
      </c>
    </row>
    <row r="210" spans="1:14" x14ac:dyDescent="0.3">
      <c r="A210" t="s">
        <v>38</v>
      </c>
      <c r="B210" t="s">
        <v>367</v>
      </c>
      <c r="C210">
        <v>8</v>
      </c>
      <c r="D210">
        <v>128</v>
      </c>
      <c r="E210">
        <v>5200</v>
      </c>
      <c r="F210">
        <v>17999</v>
      </c>
      <c r="G210">
        <v>25999</v>
      </c>
      <c r="H210">
        <v>30</v>
      </c>
      <c r="I210">
        <v>4.4000000000000004</v>
      </c>
      <c r="J210">
        <v>1341</v>
      </c>
      <c r="K210" t="s">
        <v>16</v>
      </c>
      <c r="L210">
        <v>5900.4</v>
      </c>
      <c r="M210">
        <v>2249.875</v>
      </c>
      <c r="N210" t="s">
        <v>368</v>
      </c>
    </row>
    <row r="211" spans="1:14" x14ac:dyDescent="0.3">
      <c r="A211" t="s">
        <v>38</v>
      </c>
      <c r="B211" t="s">
        <v>209</v>
      </c>
      <c r="C211">
        <v>12</v>
      </c>
      <c r="D211">
        <v>256</v>
      </c>
      <c r="E211">
        <v>7000</v>
      </c>
      <c r="F211">
        <v>32999</v>
      </c>
      <c r="G211" t="s">
        <v>26</v>
      </c>
      <c r="H211" t="s">
        <v>27</v>
      </c>
      <c r="I211">
        <v>4.4000000000000004</v>
      </c>
      <c r="J211">
        <v>356</v>
      </c>
      <c r="K211" t="s">
        <v>16</v>
      </c>
      <c r="L211">
        <v>1566.4</v>
      </c>
      <c r="M211">
        <v>2749.9166666666601</v>
      </c>
      <c r="N211" t="s">
        <v>369</v>
      </c>
    </row>
    <row r="212" spans="1:14" x14ac:dyDescent="0.3">
      <c r="A212" t="s">
        <v>38</v>
      </c>
      <c r="B212" t="s">
        <v>360</v>
      </c>
      <c r="C212">
        <v>6</v>
      </c>
      <c r="D212">
        <v>128</v>
      </c>
      <c r="E212">
        <v>6000</v>
      </c>
      <c r="F212">
        <v>13749</v>
      </c>
      <c r="G212">
        <v>16999</v>
      </c>
      <c r="H212">
        <v>19</v>
      </c>
      <c r="I212">
        <v>4.4000000000000004</v>
      </c>
      <c r="J212">
        <v>78</v>
      </c>
      <c r="K212" t="s">
        <v>34</v>
      </c>
      <c r="L212">
        <v>343.2</v>
      </c>
      <c r="M212">
        <v>2291.5</v>
      </c>
      <c r="N212" t="s">
        <v>370</v>
      </c>
    </row>
    <row r="213" spans="1:14" x14ac:dyDescent="0.3">
      <c r="A213" t="s">
        <v>22</v>
      </c>
      <c r="B213" t="s">
        <v>371</v>
      </c>
      <c r="C213" t="s">
        <v>24</v>
      </c>
      <c r="D213">
        <v>128</v>
      </c>
      <c r="E213" t="s">
        <v>25</v>
      </c>
      <c r="F213">
        <v>54900</v>
      </c>
      <c r="G213" t="s">
        <v>26</v>
      </c>
      <c r="H213" t="s">
        <v>27</v>
      </c>
      <c r="I213">
        <v>4.5999999999999996</v>
      </c>
      <c r="J213">
        <v>11944</v>
      </c>
      <c r="K213" t="s">
        <v>20</v>
      </c>
      <c r="L213">
        <v>54942.400000000001</v>
      </c>
      <c r="M213">
        <v>0</v>
      </c>
      <c r="N213" t="s">
        <v>372</v>
      </c>
    </row>
    <row r="214" spans="1:14" x14ac:dyDescent="0.3">
      <c r="A214" t="s">
        <v>14</v>
      </c>
      <c r="B214" t="s">
        <v>373</v>
      </c>
      <c r="C214">
        <v>12</v>
      </c>
      <c r="D214">
        <v>512</v>
      </c>
      <c r="E214">
        <v>4300</v>
      </c>
      <c r="F214">
        <v>121999</v>
      </c>
      <c r="G214" t="s">
        <v>26</v>
      </c>
      <c r="H214" t="s">
        <v>27</v>
      </c>
      <c r="I214">
        <v>4.5</v>
      </c>
      <c r="J214">
        <v>6</v>
      </c>
      <c r="K214" t="s">
        <v>20</v>
      </c>
      <c r="L214">
        <v>27</v>
      </c>
      <c r="M214">
        <v>10166.583333333299</v>
      </c>
      <c r="N214" t="s">
        <v>374</v>
      </c>
    </row>
    <row r="215" spans="1:14" x14ac:dyDescent="0.3">
      <c r="A215" t="s">
        <v>29</v>
      </c>
      <c r="B215" t="s">
        <v>375</v>
      </c>
      <c r="C215">
        <v>6</v>
      </c>
      <c r="D215">
        <v>128</v>
      </c>
      <c r="E215">
        <v>5000</v>
      </c>
      <c r="F215">
        <v>7340</v>
      </c>
      <c r="G215">
        <v>11990</v>
      </c>
      <c r="H215">
        <v>38</v>
      </c>
      <c r="I215">
        <v>4.0999999999999996</v>
      </c>
      <c r="J215">
        <v>360</v>
      </c>
      <c r="K215" t="s">
        <v>34</v>
      </c>
      <c r="L215">
        <v>1475.99999999999</v>
      </c>
      <c r="M215">
        <v>1223.3333333333301</v>
      </c>
      <c r="N215" t="s">
        <v>376</v>
      </c>
    </row>
    <row r="216" spans="1:14" x14ac:dyDescent="0.3">
      <c r="A216" t="s">
        <v>22</v>
      </c>
      <c r="B216" t="s">
        <v>289</v>
      </c>
      <c r="C216" t="s">
        <v>24</v>
      </c>
      <c r="D216">
        <v>512</v>
      </c>
      <c r="E216" t="s">
        <v>25</v>
      </c>
      <c r="F216">
        <v>164900</v>
      </c>
      <c r="G216" t="s">
        <v>26</v>
      </c>
      <c r="H216" t="s">
        <v>27</v>
      </c>
      <c r="I216">
        <v>4.7</v>
      </c>
      <c r="J216">
        <v>159</v>
      </c>
      <c r="K216" t="s">
        <v>20</v>
      </c>
      <c r="L216">
        <v>747.3</v>
      </c>
      <c r="M216">
        <v>0</v>
      </c>
      <c r="N216" t="s">
        <v>377</v>
      </c>
    </row>
    <row r="217" spans="1:14" x14ac:dyDescent="0.3">
      <c r="A217" t="s">
        <v>18</v>
      </c>
      <c r="B217" t="s">
        <v>378</v>
      </c>
      <c r="C217">
        <v>8</v>
      </c>
      <c r="D217">
        <v>256</v>
      </c>
      <c r="E217">
        <v>5500</v>
      </c>
      <c r="F217">
        <v>27999</v>
      </c>
      <c r="G217">
        <v>31999</v>
      </c>
      <c r="H217">
        <v>12</v>
      </c>
      <c r="I217">
        <v>4.4000000000000004</v>
      </c>
      <c r="J217">
        <v>84</v>
      </c>
      <c r="K217" t="s">
        <v>16</v>
      </c>
      <c r="L217">
        <v>369.6</v>
      </c>
      <c r="M217">
        <v>3499.875</v>
      </c>
      <c r="N217" t="s">
        <v>379</v>
      </c>
    </row>
    <row r="218" spans="1:14" x14ac:dyDescent="0.3">
      <c r="A218" t="s">
        <v>22</v>
      </c>
      <c r="B218" t="s">
        <v>380</v>
      </c>
      <c r="C218" t="s">
        <v>24</v>
      </c>
      <c r="D218">
        <v>128</v>
      </c>
      <c r="E218" t="s">
        <v>25</v>
      </c>
      <c r="F218">
        <v>129900</v>
      </c>
      <c r="G218" t="s">
        <v>26</v>
      </c>
      <c r="H218" t="s">
        <v>27</v>
      </c>
      <c r="I218">
        <v>4.5999999999999996</v>
      </c>
      <c r="J218">
        <v>191</v>
      </c>
      <c r="K218" t="s">
        <v>20</v>
      </c>
      <c r="L218">
        <v>878.599999999999</v>
      </c>
      <c r="M218">
        <v>0</v>
      </c>
      <c r="N218" t="s">
        <v>381</v>
      </c>
    </row>
    <row r="219" spans="1:14" x14ac:dyDescent="0.3">
      <c r="A219" t="s">
        <v>14</v>
      </c>
      <c r="B219" t="s">
        <v>162</v>
      </c>
      <c r="C219">
        <v>8</v>
      </c>
      <c r="D219">
        <v>128</v>
      </c>
      <c r="E219">
        <v>5000</v>
      </c>
      <c r="F219">
        <v>33490</v>
      </c>
      <c r="G219">
        <v>33999</v>
      </c>
      <c r="H219">
        <v>1</v>
      </c>
      <c r="I219">
        <v>4.4000000000000004</v>
      </c>
      <c r="J219">
        <v>4</v>
      </c>
      <c r="K219" t="s">
        <v>16</v>
      </c>
      <c r="L219">
        <v>17.600000000000001</v>
      </c>
      <c r="M219">
        <v>4186.25</v>
      </c>
      <c r="N219" t="s">
        <v>382</v>
      </c>
    </row>
    <row r="220" spans="1:14" x14ac:dyDescent="0.3">
      <c r="A220" t="s">
        <v>29</v>
      </c>
      <c r="B220" t="s">
        <v>383</v>
      </c>
      <c r="C220">
        <v>4</v>
      </c>
      <c r="D220">
        <v>128</v>
      </c>
      <c r="E220">
        <v>5160</v>
      </c>
      <c r="F220">
        <v>11990</v>
      </c>
      <c r="G220">
        <v>11999</v>
      </c>
      <c r="H220" t="s">
        <v>27</v>
      </c>
      <c r="I220">
        <v>4.3</v>
      </c>
      <c r="J220">
        <v>647</v>
      </c>
      <c r="K220" t="s">
        <v>34</v>
      </c>
      <c r="L220">
        <v>2782.1</v>
      </c>
      <c r="M220">
        <v>2997.5</v>
      </c>
      <c r="N220" t="s">
        <v>384</v>
      </c>
    </row>
    <row r="221" spans="1:14" x14ac:dyDescent="0.3">
      <c r="A221" t="s">
        <v>18</v>
      </c>
      <c r="B221" t="s">
        <v>385</v>
      </c>
      <c r="C221">
        <v>8</v>
      </c>
      <c r="D221">
        <v>256</v>
      </c>
      <c r="E221">
        <v>6000</v>
      </c>
      <c r="F221">
        <v>34999</v>
      </c>
      <c r="G221">
        <v>42999</v>
      </c>
      <c r="H221">
        <v>18</v>
      </c>
      <c r="I221">
        <v>4.5</v>
      </c>
      <c r="J221">
        <v>667</v>
      </c>
      <c r="K221" t="s">
        <v>16</v>
      </c>
      <c r="L221">
        <v>3001.5</v>
      </c>
      <c r="M221">
        <v>4374.875</v>
      </c>
      <c r="N221" t="s">
        <v>386</v>
      </c>
    </row>
    <row r="222" spans="1:14" x14ac:dyDescent="0.3">
      <c r="A222" t="s">
        <v>18</v>
      </c>
      <c r="B222" t="s">
        <v>385</v>
      </c>
      <c r="C222">
        <v>8</v>
      </c>
      <c r="D222">
        <v>128</v>
      </c>
      <c r="E222">
        <v>6000</v>
      </c>
      <c r="F222">
        <v>32999</v>
      </c>
      <c r="G222">
        <v>39999</v>
      </c>
      <c r="H222">
        <v>17</v>
      </c>
      <c r="I222">
        <v>4.5</v>
      </c>
      <c r="J222">
        <v>667</v>
      </c>
      <c r="K222" t="s">
        <v>16</v>
      </c>
      <c r="L222">
        <v>3001.5</v>
      </c>
      <c r="M222">
        <v>4124.875</v>
      </c>
      <c r="N222" t="s">
        <v>387</v>
      </c>
    </row>
    <row r="223" spans="1:14" x14ac:dyDescent="0.3">
      <c r="A223" t="s">
        <v>44</v>
      </c>
      <c r="B223" t="s">
        <v>388</v>
      </c>
      <c r="C223">
        <v>12</v>
      </c>
      <c r="D223">
        <v>256</v>
      </c>
      <c r="E223">
        <v>7000</v>
      </c>
      <c r="F223">
        <v>34999</v>
      </c>
      <c r="G223">
        <v>39999</v>
      </c>
      <c r="H223">
        <v>12</v>
      </c>
      <c r="I223">
        <v>4.4000000000000004</v>
      </c>
      <c r="J223">
        <v>24</v>
      </c>
      <c r="K223" t="s">
        <v>16</v>
      </c>
      <c r="L223">
        <v>105.6</v>
      </c>
      <c r="M223">
        <v>2916.5833333333298</v>
      </c>
      <c r="N223" t="s">
        <v>389</v>
      </c>
    </row>
    <row r="224" spans="1:14" x14ac:dyDescent="0.3">
      <c r="A224" t="s">
        <v>22</v>
      </c>
      <c r="B224" t="s">
        <v>390</v>
      </c>
      <c r="C224" t="s">
        <v>24</v>
      </c>
      <c r="D224">
        <v>128</v>
      </c>
      <c r="E224" t="s">
        <v>25</v>
      </c>
      <c r="F224">
        <v>69900</v>
      </c>
      <c r="G224" t="s">
        <v>26</v>
      </c>
      <c r="H224" t="s">
        <v>27</v>
      </c>
      <c r="I224">
        <v>4.5999999999999996</v>
      </c>
      <c r="J224">
        <v>2600</v>
      </c>
      <c r="K224" t="s">
        <v>20</v>
      </c>
      <c r="L224">
        <v>11959.9999999999</v>
      </c>
      <c r="M224">
        <v>0</v>
      </c>
      <c r="N224" t="s">
        <v>391</v>
      </c>
    </row>
    <row r="225" spans="1:14" x14ac:dyDescent="0.3">
      <c r="A225" t="s">
        <v>18</v>
      </c>
      <c r="B225" t="s">
        <v>392</v>
      </c>
      <c r="C225">
        <v>8</v>
      </c>
      <c r="D225">
        <v>128</v>
      </c>
      <c r="E225">
        <v>5000</v>
      </c>
      <c r="F225">
        <v>21899</v>
      </c>
      <c r="G225">
        <v>21999</v>
      </c>
      <c r="H225" t="s">
        <v>27</v>
      </c>
      <c r="I225">
        <v>4.2</v>
      </c>
      <c r="J225">
        <v>70</v>
      </c>
      <c r="K225" t="s">
        <v>16</v>
      </c>
      <c r="L225">
        <v>294</v>
      </c>
      <c r="M225">
        <v>2737.375</v>
      </c>
      <c r="N225" t="s">
        <v>393</v>
      </c>
    </row>
    <row r="226" spans="1:14" x14ac:dyDescent="0.3">
      <c r="A226" t="s">
        <v>44</v>
      </c>
      <c r="B226" t="s">
        <v>394</v>
      </c>
      <c r="C226">
        <v>8</v>
      </c>
      <c r="D226">
        <v>128</v>
      </c>
      <c r="E226">
        <v>5000</v>
      </c>
      <c r="F226">
        <v>16924</v>
      </c>
      <c r="G226">
        <v>22999</v>
      </c>
      <c r="H226">
        <v>26</v>
      </c>
      <c r="I226">
        <v>4.3</v>
      </c>
      <c r="J226">
        <v>71</v>
      </c>
      <c r="K226" t="s">
        <v>16</v>
      </c>
      <c r="L226">
        <v>305.3</v>
      </c>
      <c r="M226">
        <v>2115.5</v>
      </c>
      <c r="N226" t="s">
        <v>395</v>
      </c>
    </row>
    <row r="227" spans="1:14" x14ac:dyDescent="0.3">
      <c r="A227" t="s">
        <v>29</v>
      </c>
      <c r="B227" t="s">
        <v>396</v>
      </c>
      <c r="C227">
        <v>8</v>
      </c>
      <c r="D227">
        <v>256</v>
      </c>
      <c r="E227">
        <v>5000</v>
      </c>
      <c r="F227">
        <v>33999</v>
      </c>
      <c r="G227" t="s">
        <v>26</v>
      </c>
      <c r="H227" t="s">
        <v>27</v>
      </c>
      <c r="I227">
        <v>4.3</v>
      </c>
      <c r="J227">
        <v>1697</v>
      </c>
      <c r="K227" t="s">
        <v>16</v>
      </c>
      <c r="L227">
        <v>7297.0999999999904</v>
      </c>
      <c r="M227">
        <v>4249.875</v>
      </c>
      <c r="N227" t="s">
        <v>397</v>
      </c>
    </row>
    <row r="228" spans="1:14" x14ac:dyDescent="0.3">
      <c r="A228" t="s">
        <v>44</v>
      </c>
      <c r="B228" t="s">
        <v>354</v>
      </c>
      <c r="C228">
        <v>8</v>
      </c>
      <c r="D228">
        <v>128</v>
      </c>
      <c r="E228">
        <v>7000</v>
      </c>
      <c r="F228">
        <v>26999</v>
      </c>
      <c r="G228">
        <v>27999</v>
      </c>
      <c r="H228">
        <v>3</v>
      </c>
      <c r="I228">
        <v>4.3</v>
      </c>
      <c r="J228">
        <v>100</v>
      </c>
      <c r="K228" t="s">
        <v>16</v>
      </c>
      <c r="L228">
        <v>430</v>
      </c>
      <c r="M228">
        <v>3374.875</v>
      </c>
      <c r="N228" t="s">
        <v>398</v>
      </c>
    </row>
    <row r="229" spans="1:14" x14ac:dyDescent="0.3">
      <c r="A229" t="s">
        <v>14</v>
      </c>
      <c r="B229" t="s">
        <v>399</v>
      </c>
      <c r="C229">
        <v>8</v>
      </c>
      <c r="D229">
        <v>512</v>
      </c>
      <c r="E229">
        <v>4900</v>
      </c>
      <c r="F229">
        <v>77999</v>
      </c>
      <c r="G229" t="s">
        <v>26</v>
      </c>
      <c r="H229" t="s">
        <v>27</v>
      </c>
      <c r="I229">
        <v>4.5999999999999996</v>
      </c>
      <c r="J229">
        <v>6</v>
      </c>
      <c r="K229" t="s">
        <v>20</v>
      </c>
      <c r="L229">
        <v>27.6</v>
      </c>
      <c r="M229">
        <v>9749.875</v>
      </c>
      <c r="N229" t="s">
        <v>400</v>
      </c>
    </row>
    <row r="230" spans="1:14" x14ac:dyDescent="0.3">
      <c r="A230" t="s">
        <v>44</v>
      </c>
      <c r="B230" t="s">
        <v>401</v>
      </c>
      <c r="C230">
        <v>8</v>
      </c>
      <c r="D230">
        <v>256</v>
      </c>
      <c r="E230">
        <v>6000</v>
      </c>
      <c r="F230">
        <v>18358</v>
      </c>
      <c r="G230">
        <v>34999</v>
      </c>
      <c r="H230">
        <v>47</v>
      </c>
      <c r="I230">
        <v>4.4000000000000004</v>
      </c>
      <c r="J230">
        <v>150</v>
      </c>
      <c r="K230" t="s">
        <v>16</v>
      </c>
      <c r="L230">
        <v>660</v>
      </c>
      <c r="M230">
        <v>2294.75</v>
      </c>
      <c r="N230" t="s">
        <v>402</v>
      </c>
    </row>
    <row r="231" spans="1:14" x14ac:dyDescent="0.3">
      <c r="A231" t="s">
        <v>14</v>
      </c>
      <c r="B231" t="s">
        <v>193</v>
      </c>
      <c r="C231">
        <v>4</v>
      </c>
      <c r="D231">
        <v>128</v>
      </c>
      <c r="E231">
        <v>5000</v>
      </c>
      <c r="F231">
        <v>15499</v>
      </c>
      <c r="G231" t="s">
        <v>26</v>
      </c>
      <c r="H231" t="s">
        <v>27</v>
      </c>
      <c r="I231">
        <v>4.2</v>
      </c>
      <c r="J231">
        <v>2189</v>
      </c>
      <c r="K231" t="s">
        <v>16</v>
      </c>
      <c r="L231">
        <v>9193.7999999999993</v>
      </c>
      <c r="M231">
        <v>3874.75</v>
      </c>
      <c r="N231" t="s">
        <v>403</v>
      </c>
    </row>
    <row r="232" spans="1:14" x14ac:dyDescent="0.3">
      <c r="A232" t="s">
        <v>18</v>
      </c>
      <c r="B232" t="s">
        <v>404</v>
      </c>
      <c r="C232">
        <v>8</v>
      </c>
      <c r="D232">
        <v>128</v>
      </c>
      <c r="E232">
        <v>4830</v>
      </c>
      <c r="F232">
        <v>35999</v>
      </c>
      <c r="G232">
        <v>39999</v>
      </c>
      <c r="H232">
        <v>10</v>
      </c>
      <c r="I232">
        <v>4.3</v>
      </c>
      <c r="J232">
        <v>926</v>
      </c>
      <c r="K232" t="s">
        <v>16</v>
      </c>
      <c r="L232">
        <v>3981.8</v>
      </c>
      <c r="M232">
        <v>4499.875</v>
      </c>
      <c r="N232" t="s">
        <v>405</v>
      </c>
    </row>
    <row r="233" spans="1:14" x14ac:dyDescent="0.3">
      <c r="A233" t="s">
        <v>14</v>
      </c>
      <c r="B233" t="s">
        <v>406</v>
      </c>
      <c r="C233">
        <v>6</v>
      </c>
      <c r="D233">
        <v>128</v>
      </c>
      <c r="E233">
        <v>6000</v>
      </c>
      <c r="F233">
        <v>18490</v>
      </c>
      <c r="G233" t="s">
        <v>26</v>
      </c>
      <c r="H233" t="s">
        <v>27</v>
      </c>
      <c r="I233">
        <v>4.2</v>
      </c>
      <c r="J233">
        <v>9099</v>
      </c>
      <c r="K233" t="s">
        <v>16</v>
      </c>
      <c r="L233">
        <v>38215.800000000003</v>
      </c>
      <c r="M233">
        <v>3081.6666666666601</v>
      </c>
      <c r="N233" t="s">
        <v>407</v>
      </c>
    </row>
    <row r="234" spans="1:14" x14ac:dyDescent="0.3">
      <c r="A234" t="s">
        <v>14</v>
      </c>
      <c r="B234" t="s">
        <v>408</v>
      </c>
      <c r="C234">
        <v>12</v>
      </c>
      <c r="D234">
        <v>256</v>
      </c>
      <c r="E234">
        <v>5000</v>
      </c>
      <c r="F234">
        <v>21570</v>
      </c>
      <c r="G234">
        <v>34999</v>
      </c>
      <c r="H234">
        <v>38</v>
      </c>
      <c r="I234">
        <v>4.0999999999999996</v>
      </c>
      <c r="J234">
        <v>113</v>
      </c>
      <c r="K234" t="s">
        <v>16</v>
      </c>
      <c r="L234">
        <v>463.3</v>
      </c>
      <c r="M234">
        <v>1797.5</v>
      </c>
      <c r="N234" t="s">
        <v>409</v>
      </c>
    </row>
    <row r="235" spans="1:14" x14ac:dyDescent="0.3">
      <c r="A235" t="s">
        <v>22</v>
      </c>
      <c r="B235" t="s">
        <v>410</v>
      </c>
      <c r="C235" t="s">
        <v>24</v>
      </c>
      <c r="D235">
        <v>256</v>
      </c>
      <c r="E235" t="s">
        <v>25</v>
      </c>
      <c r="F235">
        <v>64900</v>
      </c>
      <c r="G235">
        <v>69900</v>
      </c>
      <c r="H235">
        <v>7</v>
      </c>
      <c r="I235">
        <v>4.5999999999999996</v>
      </c>
      <c r="J235">
        <v>9546</v>
      </c>
      <c r="K235" t="s">
        <v>20</v>
      </c>
      <c r="L235">
        <v>43911.6</v>
      </c>
      <c r="M235">
        <v>0</v>
      </c>
      <c r="N235" t="s">
        <v>411</v>
      </c>
    </row>
    <row r="236" spans="1:14" x14ac:dyDescent="0.3">
      <c r="A236" t="s">
        <v>22</v>
      </c>
      <c r="B236" t="s">
        <v>412</v>
      </c>
      <c r="C236" t="s">
        <v>24</v>
      </c>
      <c r="D236">
        <v>256</v>
      </c>
      <c r="E236" t="s">
        <v>25</v>
      </c>
      <c r="F236">
        <v>129900</v>
      </c>
      <c r="G236" t="s">
        <v>26</v>
      </c>
      <c r="H236" t="s">
        <v>27</v>
      </c>
      <c r="I236">
        <v>4.7</v>
      </c>
      <c r="J236">
        <v>120</v>
      </c>
      <c r="K236" t="s">
        <v>20</v>
      </c>
      <c r="L236">
        <v>564</v>
      </c>
      <c r="M236">
        <v>0</v>
      </c>
      <c r="N236" t="s">
        <v>413</v>
      </c>
    </row>
    <row r="237" spans="1:14" x14ac:dyDescent="0.3">
      <c r="A237" t="s">
        <v>14</v>
      </c>
      <c r="B237" t="s">
        <v>414</v>
      </c>
      <c r="C237">
        <v>12</v>
      </c>
      <c r="D237">
        <v>256</v>
      </c>
      <c r="E237">
        <v>4400</v>
      </c>
      <c r="F237">
        <v>74999</v>
      </c>
      <c r="G237">
        <v>177999</v>
      </c>
      <c r="H237">
        <v>57</v>
      </c>
      <c r="I237">
        <v>3.4</v>
      </c>
      <c r="J237">
        <v>10</v>
      </c>
      <c r="K237" t="s">
        <v>20</v>
      </c>
      <c r="L237">
        <v>34</v>
      </c>
      <c r="M237">
        <v>6249.9166666666597</v>
      </c>
      <c r="N237" t="s">
        <v>415</v>
      </c>
    </row>
    <row r="238" spans="1:14" x14ac:dyDescent="0.3">
      <c r="A238" t="s">
        <v>14</v>
      </c>
      <c r="B238" t="s">
        <v>416</v>
      </c>
      <c r="C238">
        <v>6</v>
      </c>
      <c r="D238">
        <v>128</v>
      </c>
      <c r="E238">
        <v>6000</v>
      </c>
      <c r="F238">
        <v>13719</v>
      </c>
      <c r="G238">
        <v>24499</v>
      </c>
      <c r="H238">
        <v>44</v>
      </c>
      <c r="I238">
        <v>4.4000000000000004</v>
      </c>
      <c r="J238">
        <v>2197</v>
      </c>
      <c r="K238" t="s">
        <v>34</v>
      </c>
      <c r="L238">
        <v>9666.7999999999993</v>
      </c>
      <c r="M238">
        <v>2286.5</v>
      </c>
      <c r="N238" t="s">
        <v>417</v>
      </c>
    </row>
    <row r="239" spans="1:14" x14ac:dyDescent="0.3">
      <c r="A239" t="s">
        <v>18</v>
      </c>
      <c r="B239" t="s">
        <v>264</v>
      </c>
      <c r="C239">
        <v>8</v>
      </c>
      <c r="D239">
        <v>128</v>
      </c>
      <c r="E239">
        <v>5600</v>
      </c>
      <c r="F239">
        <v>26999</v>
      </c>
      <c r="G239">
        <v>33999</v>
      </c>
      <c r="H239">
        <v>20</v>
      </c>
      <c r="I239">
        <v>4.4000000000000004</v>
      </c>
      <c r="J239">
        <v>190</v>
      </c>
      <c r="K239" t="s">
        <v>16</v>
      </c>
      <c r="L239">
        <v>836</v>
      </c>
      <c r="M239">
        <v>3374.875</v>
      </c>
      <c r="N239" t="s">
        <v>418</v>
      </c>
    </row>
    <row r="240" spans="1:14" x14ac:dyDescent="0.3">
      <c r="A240" t="s">
        <v>29</v>
      </c>
      <c r="B240" t="s">
        <v>419</v>
      </c>
      <c r="C240">
        <v>6</v>
      </c>
      <c r="D240">
        <v>128</v>
      </c>
      <c r="E240">
        <v>5000</v>
      </c>
      <c r="F240">
        <v>12150</v>
      </c>
      <c r="G240">
        <v>20999</v>
      </c>
      <c r="H240">
        <v>42</v>
      </c>
      <c r="I240">
        <v>4.0999999999999996</v>
      </c>
      <c r="J240">
        <v>342</v>
      </c>
      <c r="K240" t="s">
        <v>34</v>
      </c>
      <c r="L240">
        <v>1402.19999999999</v>
      </c>
      <c r="M240">
        <v>2025</v>
      </c>
      <c r="N240" t="s">
        <v>420</v>
      </c>
    </row>
    <row r="241" spans="1:14" x14ac:dyDescent="0.3">
      <c r="A241" t="s">
        <v>22</v>
      </c>
      <c r="B241" t="s">
        <v>421</v>
      </c>
      <c r="C241" t="s">
        <v>24</v>
      </c>
      <c r="D241">
        <v>256</v>
      </c>
      <c r="E241" t="s">
        <v>25</v>
      </c>
      <c r="F241">
        <v>64900</v>
      </c>
      <c r="G241" t="s">
        <v>26</v>
      </c>
      <c r="H241" t="s">
        <v>27</v>
      </c>
      <c r="I241">
        <v>4.5999999999999996</v>
      </c>
      <c r="J241">
        <v>13889</v>
      </c>
      <c r="K241" t="s">
        <v>20</v>
      </c>
      <c r="L241">
        <v>63889.4</v>
      </c>
      <c r="M241">
        <v>0</v>
      </c>
      <c r="N241" t="s">
        <v>422</v>
      </c>
    </row>
    <row r="242" spans="1:14" x14ac:dyDescent="0.3">
      <c r="A242" t="s">
        <v>22</v>
      </c>
      <c r="B242" t="s">
        <v>412</v>
      </c>
      <c r="C242" t="s">
        <v>24</v>
      </c>
      <c r="D242">
        <v>512</v>
      </c>
      <c r="E242" t="s">
        <v>25</v>
      </c>
      <c r="F242">
        <v>149900</v>
      </c>
      <c r="G242" t="s">
        <v>26</v>
      </c>
      <c r="H242" t="s">
        <v>27</v>
      </c>
      <c r="I242">
        <v>4.7</v>
      </c>
      <c r="J242">
        <v>120</v>
      </c>
      <c r="K242" t="s">
        <v>20</v>
      </c>
      <c r="L242">
        <v>564</v>
      </c>
      <c r="M242">
        <v>0</v>
      </c>
      <c r="N242" t="s">
        <v>423</v>
      </c>
    </row>
    <row r="243" spans="1:14" x14ac:dyDescent="0.3">
      <c r="A243" t="s">
        <v>22</v>
      </c>
      <c r="B243" t="s">
        <v>320</v>
      </c>
      <c r="C243" t="s">
        <v>24</v>
      </c>
      <c r="D243">
        <v>256</v>
      </c>
      <c r="E243" t="s">
        <v>25</v>
      </c>
      <c r="F243">
        <v>69900</v>
      </c>
      <c r="G243" t="s">
        <v>26</v>
      </c>
      <c r="H243" t="s">
        <v>27</v>
      </c>
      <c r="I243">
        <v>4.5</v>
      </c>
      <c r="J243">
        <v>116</v>
      </c>
      <c r="K243" t="s">
        <v>20</v>
      </c>
      <c r="L243">
        <v>522</v>
      </c>
      <c r="M243">
        <v>0</v>
      </c>
      <c r="N243" t="s">
        <v>424</v>
      </c>
    </row>
    <row r="244" spans="1:14" x14ac:dyDescent="0.3">
      <c r="A244" t="s">
        <v>18</v>
      </c>
      <c r="B244" t="s">
        <v>63</v>
      </c>
      <c r="C244">
        <v>12</v>
      </c>
      <c r="D244">
        <v>256</v>
      </c>
      <c r="E244">
        <v>6500</v>
      </c>
      <c r="F244">
        <v>56999</v>
      </c>
      <c r="G244">
        <v>59999</v>
      </c>
      <c r="H244">
        <v>5</v>
      </c>
      <c r="I244">
        <v>4.5</v>
      </c>
      <c r="J244">
        <v>13</v>
      </c>
      <c r="K244" t="s">
        <v>20</v>
      </c>
      <c r="L244">
        <v>58.5</v>
      </c>
      <c r="M244">
        <v>4749.9166666666597</v>
      </c>
      <c r="N244" t="s">
        <v>64</v>
      </c>
    </row>
    <row r="245" spans="1:14" x14ac:dyDescent="0.3">
      <c r="A245" t="s">
        <v>38</v>
      </c>
      <c r="B245" t="s">
        <v>42</v>
      </c>
      <c r="C245">
        <v>8</v>
      </c>
      <c r="D245">
        <v>256</v>
      </c>
      <c r="E245">
        <v>6000</v>
      </c>
      <c r="F245">
        <v>25999</v>
      </c>
      <c r="G245">
        <v>33999</v>
      </c>
      <c r="H245">
        <v>23</v>
      </c>
      <c r="I245">
        <v>4.4000000000000004</v>
      </c>
      <c r="J245">
        <v>2002</v>
      </c>
      <c r="K245" t="s">
        <v>16</v>
      </c>
      <c r="L245">
        <v>8808.7999999999993</v>
      </c>
      <c r="M245">
        <v>3249.875</v>
      </c>
      <c r="N245" t="s">
        <v>425</v>
      </c>
    </row>
    <row r="246" spans="1:14" x14ac:dyDescent="0.3">
      <c r="A246" t="s">
        <v>38</v>
      </c>
      <c r="B246" t="s">
        <v>42</v>
      </c>
      <c r="C246">
        <v>8</v>
      </c>
      <c r="D246">
        <v>128</v>
      </c>
      <c r="E246">
        <v>6000</v>
      </c>
      <c r="F246">
        <v>23999</v>
      </c>
      <c r="G246">
        <v>31999</v>
      </c>
      <c r="H246">
        <v>25</v>
      </c>
      <c r="I246">
        <v>4.4000000000000004</v>
      </c>
      <c r="J246">
        <v>2002</v>
      </c>
      <c r="K246" t="s">
        <v>16</v>
      </c>
      <c r="L246">
        <v>8808.7999999999993</v>
      </c>
      <c r="M246">
        <v>2999.875</v>
      </c>
      <c r="N246" t="s">
        <v>426</v>
      </c>
    </row>
    <row r="247" spans="1:14" x14ac:dyDescent="0.3">
      <c r="A247" t="s">
        <v>38</v>
      </c>
      <c r="B247" t="s">
        <v>165</v>
      </c>
      <c r="C247">
        <v>8</v>
      </c>
      <c r="D247">
        <v>256</v>
      </c>
      <c r="E247">
        <v>7000</v>
      </c>
      <c r="F247">
        <v>34999</v>
      </c>
      <c r="G247">
        <v>45999</v>
      </c>
      <c r="H247">
        <v>23</v>
      </c>
      <c r="I247">
        <v>4.4000000000000004</v>
      </c>
      <c r="J247">
        <v>59</v>
      </c>
      <c r="K247" t="s">
        <v>16</v>
      </c>
      <c r="L247">
        <v>259.60000000000002</v>
      </c>
      <c r="M247">
        <v>4374.875</v>
      </c>
      <c r="N247" t="s">
        <v>427</v>
      </c>
    </row>
    <row r="248" spans="1:14" x14ac:dyDescent="0.3">
      <c r="A248" t="s">
        <v>29</v>
      </c>
      <c r="B248" t="s">
        <v>105</v>
      </c>
      <c r="C248">
        <v>8</v>
      </c>
      <c r="D248">
        <v>256</v>
      </c>
      <c r="E248">
        <v>7000</v>
      </c>
      <c r="F248">
        <v>18999</v>
      </c>
      <c r="G248">
        <v>19999</v>
      </c>
      <c r="H248">
        <v>5</v>
      </c>
      <c r="I248">
        <v>4.3</v>
      </c>
      <c r="J248">
        <v>184</v>
      </c>
      <c r="K248" t="s">
        <v>16</v>
      </c>
      <c r="L248">
        <v>791.19999999999902</v>
      </c>
      <c r="M248">
        <v>2374.875</v>
      </c>
      <c r="N248" t="s">
        <v>428</v>
      </c>
    </row>
    <row r="249" spans="1:14" x14ac:dyDescent="0.3">
      <c r="A249" t="s">
        <v>44</v>
      </c>
      <c r="B249" t="s">
        <v>429</v>
      </c>
      <c r="C249">
        <v>8</v>
      </c>
      <c r="D249">
        <v>256</v>
      </c>
      <c r="E249">
        <v>7000</v>
      </c>
      <c r="F249">
        <v>34999</v>
      </c>
      <c r="G249">
        <v>41999</v>
      </c>
      <c r="H249">
        <v>16</v>
      </c>
      <c r="I249">
        <v>4.3</v>
      </c>
      <c r="J249">
        <v>17</v>
      </c>
      <c r="K249" t="s">
        <v>16</v>
      </c>
      <c r="L249">
        <v>73.099999999999994</v>
      </c>
      <c r="M249">
        <v>4374.875</v>
      </c>
      <c r="N249" t="s">
        <v>430</v>
      </c>
    </row>
    <row r="250" spans="1:14" x14ac:dyDescent="0.3">
      <c r="A250" t="s">
        <v>14</v>
      </c>
      <c r="B250" t="s">
        <v>287</v>
      </c>
      <c r="C250">
        <v>12</v>
      </c>
      <c r="D250">
        <v>1000</v>
      </c>
      <c r="E250">
        <v>4400</v>
      </c>
      <c r="F250">
        <v>185999</v>
      </c>
      <c r="G250">
        <v>200999</v>
      </c>
      <c r="H250">
        <v>7</v>
      </c>
      <c r="I250">
        <v>4.2</v>
      </c>
      <c r="J250">
        <v>16</v>
      </c>
      <c r="K250" t="s">
        <v>20</v>
      </c>
      <c r="L250">
        <v>67.2</v>
      </c>
      <c r="M250">
        <v>15499.916666666601</v>
      </c>
      <c r="N250" t="s">
        <v>431</v>
      </c>
    </row>
    <row r="251" spans="1:14" x14ac:dyDescent="0.3">
      <c r="A251" t="s">
        <v>14</v>
      </c>
      <c r="B251" t="s">
        <v>313</v>
      </c>
      <c r="C251">
        <v>8</v>
      </c>
      <c r="D251">
        <v>256</v>
      </c>
      <c r="E251">
        <v>3700</v>
      </c>
      <c r="F251">
        <v>99999</v>
      </c>
      <c r="G251">
        <v>102999</v>
      </c>
      <c r="H251">
        <v>2</v>
      </c>
      <c r="I251">
        <v>4.4000000000000004</v>
      </c>
      <c r="J251">
        <v>51</v>
      </c>
      <c r="K251" t="s">
        <v>20</v>
      </c>
      <c r="L251">
        <v>224.4</v>
      </c>
      <c r="M251">
        <v>12499.875</v>
      </c>
      <c r="N251" t="s">
        <v>432</v>
      </c>
    </row>
    <row r="252" spans="1:14" x14ac:dyDescent="0.3">
      <c r="A252" t="s">
        <v>14</v>
      </c>
      <c r="B252" t="s">
        <v>433</v>
      </c>
      <c r="C252">
        <v>6</v>
      </c>
      <c r="D252">
        <v>128</v>
      </c>
      <c r="E252">
        <v>5000</v>
      </c>
      <c r="F252">
        <v>17990</v>
      </c>
      <c r="G252">
        <v>17999</v>
      </c>
      <c r="H252" t="s">
        <v>27</v>
      </c>
      <c r="I252">
        <v>4.4000000000000004</v>
      </c>
      <c r="J252">
        <v>18</v>
      </c>
      <c r="K252" t="s">
        <v>16</v>
      </c>
      <c r="L252">
        <v>79.2</v>
      </c>
      <c r="M252">
        <v>2998.3333333333298</v>
      </c>
      <c r="N252" t="s">
        <v>434</v>
      </c>
    </row>
    <row r="253" spans="1:14" x14ac:dyDescent="0.3">
      <c r="A253" t="s">
        <v>38</v>
      </c>
      <c r="B253" t="s">
        <v>328</v>
      </c>
      <c r="C253">
        <v>6</v>
      </c>
      <c r="D253">
        <v>128</v>
      </c>
      <c r="E253">
        <v>5000</v>
      </c>
      <c r="F253">
        <v>10999</v>
      </c>
      <c r="G253">
        <v>13999</v>
      </c>
      <c r="H253">
        <v>21</v>
      </c>
      <c r="I253">
        <v>4.5</v>
      </c>
      <c r="J253">
        <v>740</v>
      </c>
      <c r="K253" t="s">
        <v>34</v>
      </c>
      <c r="L253">
        <v>3330</v>
      </c>
      <c r="M253">
        <v>1833.1666666666599</v>
      </c>
      <c r="N253" t="s">
        <v>435</v>
      </c>
    </row>
    <row r="254" spans="1:14" x14ac:dyDescent="0.3">
      <c r="A254" t="s">
        <v>38</v>
      </c>
      <c r="B254" t="s">
        <v>237</v>
      </c>
      <c r="C254">
        <v>8</v>
      </c>
      <c r="D254">
        <v>256</v>
      </c>
      <c r="E254">
        <v>5000</v>
      </c>
      <c r="F254">
        <v>19099</v>
      </c>
      <c r="G254">
        <v>22999</v>
      </c>
      <c r="H254">
        <v>16</v>
      </c>
      <c r="I254">
        <v>4.5</v>
      </c>
      <c r="J254">
        <v>3</v>
      </c>
      <c r="K254" t="s">
        <v>16</v>
      </c>
      <c r="L254">
        <v>13.5</v>
      </c>
      <c r="M254">
        <v>2387.375</v>
      </c>
      <c r="N254" t="s">
        <v>436</v>
      </c>
    </row>
    <row r="255" spans="1:14" x14ac:dyDescent="0.3">
      <c r="A255" t="s">
        <v>14</v>
      </c>
      <c r="B255" t="s">
        <v>274</v>
      </c>
      <c r="C255">
        <v>12</v>
      </c>
      <c r="D255">
        <v>256</v>
      </c>
      <c r="E255">
        <v>5000</v>
      </c>
      <c r="F255">
        <v>46999</v>
      </c>
      <c r="G255">
        <v>52999</v>
      </c>
      <c r="H255">
        <v>11</v>
      </c>
      <c r="I255">
        <v>4.4000000000000004</v>
      </c>
      <c r="J255">
        <v>46</v>
      </c>
      <c r="K255" t="s">
        <v>20</v>
      </c>
      <c r="L255">
        <v>202.4</v>
      </c>
      <c r="M255">
        <v>3916.5833333333298</v>
      </c>
      <c r="N255" t="s">
        <v>437</v>
      </c>
    </row>
    <row r="256" spans="1:14" x14ac:dyDescent="0.3">
      <c r="A256" t="s">
        <v>22</v>
      </c>
      <c r="B256" t="s">
        <v>412</v>
      </c>
      <c r="C256" t="s">
        <v>24</v>
      </c>
      <c r="D256">
        <v>128</v>
      </c>
      <c r="E256" t="s">
        <v>25</v>
      </c>
      <c r="F256">
        <v>119900</v>
      </c>
      <c r="G256" t="s">
        <v>26</v>
      </c>
      <c r="H256" t="s">
        <v>27</v>
      </c>
      <c r="I256">
        <v>4.7</v>
      </c>
      <c r="J256">
        <v>120</v>
      </c>
      <c r="K256" t="s">
        <v>20</v>
      </c>
      <c r="L256">
        <v>564</v>
      </c>
      <c r="M256">
        <v>0</v>
      </c>
      <c r="N256" t="s">
        <v>438</v>
      </c>
    </row>
    <row r="257" spans="1:14" x14ac:dyDescent="0.3">
      <c r="A257" t="s">
        <v>18</v>
      </c>
      <c r="B257" t="s">
        <v>78</v>
      </c>
      <c r="C257">
        <v>4</v>
      </c>
      <c r="D257">
        <v>128</v>
      </c>
      <c r="E257">
        <v>5000</v>
      </c>
      <c r="F257">
        <v>13499</v>
      </c>
      <c r="G257">
        <v>18999</v>
      </c>
      <c r="H257">
        <v>28</v>
      </c>
      <c r="I257">
        <v>4.3</v>
      </c>
      <c r="J257">
        <v>147</v>
      </c>
      <c r="K257" t="s">
        <v>34</v>
      </c>
      <c r="L257">
        <v>632.1</v>
      </c>
      <c r="M257">
        <v>3374.75</v>
      </c>
      <c r="N257" t="s">
        <v>79</v>
      </c>
    </row>
    <row r="258" spans="1:14" x14ac:dyDescent="0.3">
      <c r="A258" t="s">
        <v>29</v>
      </c>
      <c r="B258" t="s">
        <v>439</v>
      </c>
      <c r="C258">
        <v>8</v>
      </c>
      <c r="D258">
        <v>128</v>
      </c>
      <c r="E258">
        <v>5500</v>
      </c>
      <c r="F258">
        <v>21712</v>
      </c>
      <c r="G258">
        <v>28999</v>
      </c>
      <c r="H258">
        <v>25</v>
      </c>
      <c r="I258">
        <v>4.4000000000000004</v>
      </c>
      <c r="J258">
        <v>387</v>
      </c>
      <c r="K258" t="s">
        <v>16</v>
      </c>
      <c r="L258">
        <v>1702.8</v>
      </c>
      <c r="M258">
        <v>2714</v>
      </c>
      <c r="N258" t="s">
        <v>440</v>
      </c>
    </row>
    <row r="259" spans="1:14" x14ac:dyDescent="0.3">
      <c r="A259" t="s">
        <v>14</v>
      </c>
      <c r="B259" t="s">
        <v>441</v>
      </c>
      <c r="C259">
        <v>4</v>
      </c>
      <c r="D259">
        <v>64</v>
      </c>
      <c r="E259">
        <v>6000</v>
      </c>
      <c r="F259">
        <v>8500</v>
      </c>
      <c r="G259">
        <v>13999</v>
      </c>
      <c r="H259">
        <v>39</v>
      </c>
      <c r="I259">
        <v>4.0999999999999996</v>
      </c>
      <c r="J259">
        <v>131</v>
      </c>
      <c r="K259" t="s">
        <v>34</v>
      </c>
      <c r="L259">
        <v>537.099999999999</v>
      </c>
      <c r="M259">
        <v>2125</v>
      </c>
      <c r="N259" t="s">
        <v>442</v>
      </c>
    </row>
    <row r="260" spans="1:14" x14ac:dyDescent="0.3">
      <c r="A260" t="s">
        <v>38</v>
      </c>
      <c r="B260" t="s">
        <v>52</v>
      </c>
      <c r="C260">
        <v>8</v>
      </c>
      <c r="D260">
        <v>256</v>
      </c>
      <c r="E260">
        <v>7000</v>
      </c>
      <c r="F260">
        <v>36999</v>
      </c>
      <c r="G260" t="s">
        <v>26</v>
      </c>
      <c r="H260" t="s">
        <v>27</v>
      </c>
      <c r="I260">
        <v>4.4000000000000004</v>
      </c>
      <c r="J260">
        <v>139</v>
      </c>
      <c r="K260" t="s">
        <v>16</v>
      </c>
      <c r="L260">
        <v>611.6</v>
      </c>
      <c r="M260">
        <v>4624.875</v>
      </c>
      <c r="N260" t="s">
        <v>443</v>
      </c>
    </row>
    <row r="261" spans="1:14" x14ac:dyDescent="0.3">
      <c r="A261" t="s">
        <v>22</v>
      </c>
      <c r="B261" t="s">
        <v>421</v>
      </c>
      <c r="C261" t="s">
        <v>24</v>
      </c>
      <c r="D261">
        <v>128</v>
      </c>
      <c r="E261" t="s">
        <v>25</v>
      </c>
      <c r="F261">
        <v>54900</v>
      </c>
      <c r="G261" t="s">
        <v>26</v>
      </c>
      <c r="H261" t="s">
        <v>27</v>
      </c>
      <c r="I261">
        <v>4.5999999999999996</v>
      </c>
      <c r="J261">
        <v>13889</v>
      </c>
      <c r="K261" t="s">
        <v>20</v>
      </c>
      <c r="L261">
        <v>63889.4</v>
      </c>
      <c r="M261">
        <v>0</v>
      </c>
      <c r="N261" t="s">
        <v>444</v>
      </c>
    </row>
    <row r="262" spans="1:14" x14ac:dyDescent="0.3">
      <c r="A262" t="s">
        <v>44</v>
      </c>
      <c r="B262" t="s">
        <v>235</v>
      </c>
      <c r="C262">
        <v>8</v>
      </c>
      <c r="D262">
        <v>128</v>
      </c>
      <c r="E262">
        <v>6000</v>
      </c>
      <c r="F262">
        <v>15999</v>
      </c>
      <c r="G262">
        <v>18999</v>
      </c>
      <c r="H262">
        <v>15</v>
      </c>
      <c r="I262">
        <v>4.5</v>
      </c>
      <c r="J262">
        <v>890</v>
      </c>
      <c r="K262" t="s">
        <v>16</v>
      </c>
      <c r="L262">
        <v>4005</v>
      </c>
      <c r="M262">
        <v>1999.875</v>
      </c>
      <c r="N262" t="s">
        <v>445</v>
      </c>
    </row>
    <row r="263" spans="1:14" x14ac:dyDescent="0.3">
      <c r="A263" t="s">
        <v>18</v>
      </c>
      <c r="B263" t="s">
        <v>446</v>
      </c>
      <c r="C263">
        <v>8</v>
      </c>
      <c r="D263">
        <v>256</v>
      </c>
      <c r="E263">
        <v>6000</v>
      </c>
      <c r="F263">
        <v>27999</v>
      </c>
      <c r="G263" t="s">
        <v>26</v>
      </c>
      <c r="H263" t="s">
        <v>27</v>
      </c>
      <c r="I263">
        <v>4.4000000000000004</v>
      </c>
      <c r="J263">
        <v>30</v>
      </c>
      <c r="K263" t="s">
        <v>16</v>
      </c>
      <c r="L263">
        <v>132</v>
      </c>
      <c r="M263">
        <v>3499.875</v>
      </c>
      <c r="N263" t="s">
        <v>447</v>
      </c>
    </row>
    <row r="264" spans="1:14" x14ac:dyDescent="0.3">
      <c r="A264" t="s">
        <v>29</v>
      </c>
      <c r="B264" t="s">
        <v>383</v>
      </c>
      <c r="C264">
        <v>4</v>
      </c>
      <c r="D264">
        <v>64</v>
      </c>
      <c r="E264">
        <v>5160</v>
      </c>
      <c r="F264">
        <v>11999</v>
      </c>
      <c r="G264">
        <v>13999</v>
      </c>
      <c r="H264">
        <v>14</v>
      </c>
      <c r="I264">
        <v>4.3</v>
      </c>
      <c r="J264">
        <v>647</v>
      </c>
      <c r="K264" t="s">
        <v>34</v>
      </c>
      <c r="L264">
        <v>2782.1</v>
      </c>
      <c r="M264">
        <v>2999.75</v>
      </c>
      <c r="N264" t="s">
        <v>448</v>
      </c>
    </row>
    <row r="265" spans="1:14" x14ac:dyDescent="0.3">
      <c r="A265" t="s">
        <v>44</v>
      </c>
      <c r="B265" t="s">
        <v>350</v>
      </c>
      <c r="C265">
        <v>8</v>
      </c>
      <c r="D265">
        <v>128</v>
      </c>
      <c r="E265">
        <v>5800</v>
      </c>
      <c r="F265">
        <v>17900</v>
      </c>
      <c r="G265">
        <v>21999</v>
      </c>
      <c r="H265">
        <v>18</v>
      </c>
      <c r="I265">
        <v>4.3</v>
      </c>
      <c r="J265">
        <v>26</v>
      </c>
      <c r="K265" t="s">
        <v>16</v>
      </c>
      <c r="L265">
        <v>111.8</v>
      </c>
      <c r="M265">
        <v>2237.5</v>
      </c>
      <c r="N265" t="s">
        <v>449</v>
      </c>
    </row>
    <row r="266" spans="1:14" x14ac:dyDescent="0.3">
      <c r="A266" t="s">
        <v>22</v>
      </c>
      <c r="B266" t="s">
        <v>80</v>
      </c>
      <c r="C266" t="s">
        <v>24</v>
      </c>
      <c r="D266">
        <v>256</v>
      </c>
      <c r="E266" t="s">
        <v>25</v>
      </c>
      <c r="F266">
        <v>74400</v>
      </c>
      <c r="G266" t="s">
        <v>26</v>
      </c>
      <c r="H266" t="s">
        <v>27</v>
      </c>
      <c r="I266">
        <v>4.5</v>
      </c>
      <c r="J266">
        <v>9100</v>
      </c>
      <c r="K266" t="s">
        <v>20</v>
      </c>
      <c r="L266">
        <v>40950</v>
      </c>
      <c r="M266">
        <v>0</v>
      </c>
      <c r="N266" t="s">
        <v>450</v>
      </c>
    </row>
    <row r="267" spans="1:14" x14ac:dyDescent="0.3">
      <c r="A267" t="s">
        <v>14</v>
      </c>
      <c r="B267" t="s">
        <v>61</v>
      </c>
      <c r="C267">
        <v>12</v>
      </c>
      <c r="D267">
        <v>512</v>
      </c>
      <c r="E267">
        <v>4000</v>
      </c>
      <c r="F267">
        <v>108452</v>
      </c>
      <c r="G267">
        <v>121999</v>
      </c>
      <c r="H267">
        <v>11</v>
      </c>
      <c r="I267">
        <v>4.2</v>
      </c>
      <c r="J267">
        <v>19</v>
      </c>
      <c r="K267" t="s">
        <v>20</v>
      </c>
      <c r="L267">
        <v>79.8</v>
      </c>
      <c r="M267">
        <v>9037.6666666666606</v>
      </c>
      <c r="N267" t="s">
        <v>451</v>
      </c>
    </row>
    <row r="268" spans="1:14" x14ac:dyDescent="0.3">
      <c r="A268" t="s">
        <v>18</v>
      </c>
      <c r="B268" t="s">
        <v>452</v>
      </c>
      <c r="C268">
        <v>4</v>
      </c>
      <c r="D268">
        <v>128</v>
      </c>
      <c r="E268">
        <v>5000</v>
      </c>
      <c r="F268">
        <v>18990</v>
      </c>
      <c r="G268" t="s">
        <v>26</v>
      </c>
      <c r="H268" t="s">
        <v>27</v>
      </c>
      <c r="I268">
        <v>4.3</v>
      </c>
      <c r="J268">
        <v>828</v>
      </c>
      <c r="K268" t="s">
        <v>16</v>
      </c>
      <c r="L268">
        <v>3560.4</v>
      </c>
      <c r="M268">
        <v>4747.5</v>
      </c>
      <c r="N268" t="s">
        <v>453</v>
      </c>
    </row>
    <row r="269" spans="1:14" x14ac:dyDescent="0.3">
      <c r="A269" t="s">
        <v>14</v>
      </c>
      <c r="B269" t="s">
        <v>316</v>
      </c>
      <c r="C269">
        <v>8</v>
      </c>
      <c r="D269">
        <v>256</v>
      </c>
      <c r="E269">
        <v>5000</v>
      </c>
      <c r="F269">
        <v>27123</v>
      </c>
      <c r="G269">
        <v>33999</v>
      </c>
      <c r="H269">
        <v>20</v>
      </c>
      <c r="I269">
        <v>4.4000000000000004</v>
      </c>
      <c r="J269">
        <v>18</v>
      </c>
      <c r="K269" t="s">
        <v>16</v>
      </c>
      <c r="L269">
        <v>79.2</v>
      </c>
      <c r="M269">
        <v>3390.375</v>
      </c>
      <c r="N269" t="s">
        <v>454</v>
      </c>
    </row>
    <row r="270" spans="1:14" x14ac:dyDescent="0.3">
      <c r="A270" t="s">
        <v>14</v>
      </c>
      <c r="B270" t="s">
        <v>455</v>
      </c>
      <c r="C270">
        <v>8</v>
      </c>
      <c r="D270">
        <v>128</v>
      </c>
      <c r="E270">
        <v>3700</v>
      </c>
      <c r="F270">
        <v>85999</v>
      </c>
      <c r="G270" t="s">
        <v>26</v>
      </c>
      <c r="H270" t="s">
        <v>27</v>
      </c>
      <c r="I270">
        <v>4.4000000000000004</v>
      </c>
      <c r="J270">
        <v>1691</v>
      </c>
      <c r="K270" t="s">
        <v>20</v>
      </c>
      <c r="L270">
        <v>7440.4</v>
      </c>
      <c r="M270">
        <v>10749.875</v>
      </c>
      <c r="N270" t="s">
        <v>456</v>
      </c>
    </row>
    <row r="271" spans="1:14" x14ac:dyDescent="0.3">
      <c r="A271" t="s">
        <v>18</v>
      </c>
      <c r="B271" t="s">
        <v>457</v>
      </c>
      <c r="C271">
        <v>2</v>
      </c>
      <c r="D271">
        <v>32</v>
      </c>
      <c r="E271">
        <v>5000</v>
      </c>
      <c r="F271">
        <v>7999</v>
      </c>
      <c r="G271">
        <v>12999</v>
      </c>
      <c r="H271">
        <v>38</v>
      </c>
      <c r="I271">
        <v>4.2</v>
      </c>
      <c r="J271">
        <v>96</v>
      </c>
      <c r="K271" t="s">
        <v>34</v>
      </c>
      <c r="L271">
        <v>403.2</v>
      </c>
      <c r="M271">
        <v>3999.5</v>
      </c>
      <c r="N271" t="s">
        <v>458</v>
      </c>
    </row>
    <row r="272" spans="1:14" x14ac:dyDescent="0.3">
      <c r="A272" t="s">
        <v>38</v>
      </c>
      <c r="B272" t="s">
        <v>459</v>
      </c>
      <c r="C272">
        <v>4</v>
      </c>
      <c r="D272">
        <v>64</v>
      </c>
      <c r="E272">
        <v>6000</v>
      </c>
      <c r="F272">
        <v>12990</v>
      </c>
      <c r="G272">
        <v>12999</v>
      </c>
      <c r="H272" t="s">
        <v>27</v>
      </c>
      <c r="I272">
        <v>4.2</v>
      </c>
      <c r="J272">
        <v>86</v>
      </c>
      <c r="K272" t="s">
        <v>34</v>
      </c>
      <c r="L272">
        <v>361.2</v>
      </c>
      <c r="M272">
        <v>3247.5</v>
      </c>
      <c r="N272" t="s">
        <v>460</v>
      </c>
    </row>
    <row r="273" spans="1:14" x14ac:dyDescent="0.3">
      <c r="A273" t="s">
        <v>14</v>
      </c>
      <c r="B273" t="s">
        <v>461</v>
      </c>
      <c r="C273">
        <v>8</v>
      </c>
      <c r="D273">
        <v>128</v>
      </c>
      <c r="E273">
        <v>7000</v>
      </c>
      <c r="F273">
        <v>29999</v>
      </c>
      <c r="G273">
        <v>30499</v>
      </c>
      <c r="H273">
        <v>1</v>
      </c>
      <c r="I273">
        <v>4.4000000000000004</v>
      </c>
      <c r="J273">
        <v>62</v>
      </c>
      <c r="K273" t="s">
        <v>16</v>
      </c>
      <c r="L273">
        <v>272.8</v>
      </c>
      <c r="M273">
        <v>3749.875</v>
      </c>
      <c r="N273" t="s">
        <v>462</v>
      </c>
    </row>
    <row r="274" spans="1:14" x14ac:dyDescent="0.3">
      <c r="A274" t="s">
        <v>22</v>
      </c>
      <c r="B274" t="s">
        <v>390</v>
      </c>
      <c r="C274" t="s">
        <v>24</v>
      </c>
      <c r="D274">
        <v>512</v>
      </c>
      <c r="E274" t="s">
        <v>25</v>
      </c>
      <c r="F274">
        <v>99900</v>
      </c>
      <c r="G274" t="s">
        <v>26</v>
      </c>
      <c r="H274" t="s">
        <v>27</v>
      </c>
      <c r="I274">
        <v>4.5999999999999996</v>
      </c>
      <c r="J274">
        <v>2600</v>
      </c>
      <c r="K274" t="s">
        <v>20</v>
      </c>
      <c r="L274">
        <v>11959.9999999999</v>
      </c>
      <c r="M274">
        <v>0</v>
      </c>
      <c r="N274" t="s">
        <v>463</v>
      </c>
    </row>
    <row r="275" spans="1:14" x14ac:dyDescent="0.3">
      <c r="A275" t="s">
        <v>14</v>
      </c>
      <c r="B275" t="s">
        <v>301</v>
      </c>
      <c r="C275">
        <v>4</v>
      </c>
      <c r="D275">
        <v>64</v>
      </c>
      <c r="E275">
        <v>6000</v>
      </c>
      <c r="F275">
        <v>14999</v>
      </c>
      <c r="G275" t="s">
        <v>26</v>
      </c>
      <c r="H275" t="s">
        <v>27</v>
      </c>
      <c r="I275">
        <v>4.3</v>
      </c>
      <c r="J275">
        <v>9768</v>
      </c>
      <c r="K275" t="s">
        <v>34</v>
      </c>
      <c r="L275">
        <v>42002.400000000001</v>
      </c>
      <c r="M275">
        <v>3749.75</v>
      </c>
      <c r="N275" t="s">
        <v>464</v>
      </c>
    </row>
    <row r="276" spans="1:14" x14ac:dyDescent="0.3">
      <c r="A276" t="s">
        <v>38</v>
      </c>
      <c r="B276" t="s">
        <v>465</v>
      </c>
      <c r="C276">
        <v>4</v>
      </c>
      <c r="D276">
        <v>128</v>
      </c>
      <c r="E276">
        <v>7000</v>
      </c>
      <c r="F276">
        <v>14499</v>
      </c>
      <c r="G276">
        <v>21999</v>
      </c>
      <c r="H276">
        <v>34</v>
      </c>
      <c r="I276">
        <v>4.0999999999999996</v>
      </c>
      <c r="J276">
        <v>2</v>
      </c>
      <c r="K276" t="s">
        <v>34</v>
      </c>
      <c r="L276">
        <v>8.1999999999999993</v>
      </c>
      <c r="M276">
        <v>3624.75</v>
      </c>
      <c r="N276" t="s">
        <v>466</v>
      </c>
    </row>
    <row r="277" spans="1:14" x14ac:dyDescent="0.3">
      <c r="A277" t="s">
        <v>29</v>
      </c>
      <c r="B277" t="s">
        <v>467</v>
      </c>
      <c r="C277">
        <v>12</v>
      </c>
      <c r="D277">
        <v>512</v>
      </c>
      <c r="E277">
        <v>6200</v>
      </c>
      <c r="F277">
        <v>31990</v>
      </c>
      <c r="G277">
        <v>39999</v>
      </c>
      <c r="H277">
        <v>20</v>
      </c>
      <c r="I277">
        <v>4.4000000000000004</v>
      </c>
      <c r="J277">
        <v>194</v>
      </c>
      <c r="K277" t="s">
        <v>16</v>
      </c>
      <c r="L277">
        <v>853.6</v>
      </c>
      <c r="M277">
        <v>2665.8333333333298</v>
      </c>
      <c r="N277" t="s">
        <v>468</v>
      </c>
    </row>
    <row r="278" spans="1:14" x14ac:dyDescent="0.3">
      <c r="A278" t="s">
        <v>18</v>
      </c>
      <c r="B278" t="s">
        <v>207</v>
      </c>
      <c r="C278">
        <v>6</v>
      </c>
      <c r="D278">
        <v>0</v>
      </c>
      <c r="E278">
        <v>6000</v>
      </c>
      <c r="F278">
        <v>15499</v>
      </c>
      <c r="G278">
        <v>17499</v>
      </c>
      <c r="H278">
        <v>11</v>
      </c>
      <c r="I278">
        <v>4.5</v>
      </c>
      <c r="J278">
        <v>3</v>
      </c>
      <c r="K278" t="s">
        <v>16</v>
      </c>
      <c r="L278">
        <v>13.5</v>
      </c>
      <c r="M278">
        <v>2583.1666666666601</v>
      </c>
      <c r="N278" t="s">
        <v>469</v>
      </c>
    </row>
    <row r="279" spans="1:14" x14ac:dyDescent="0.3">
      <c r="A279" t="s">
        <v>29</v>
      </c>
      <c r="B279" t="s">
        <v>470</v>
      </c>
      <c r="C279">
        <v>4</v>
      </c>
      <c r="D279">
        <v>64</v>
      </c>
      <c r="E279">
        <v>6000</v>
      </c>
      <c r="F279">
        <v>13999</v>
      </c>
      <c r="G279" t="s">
        <v>26</v>
      </c>
      <c r="H279" t="s">
        <v>27</v>
      </c>
      <c r="I279">
        <v>4.3</v>
      </c>
      <c r="J279">
        <v>16822</v>
      </c>
      <c r="K279" t="s">
        <v>34</v>
      </c>
      <c r="L279">
        <v>72334.599999999904</v>
      </c>
      <c r="M279">
        <v>3499.75</v>
      </c>
      <c r="N279" t="s">
        <v>471</v>
      </c>
    </row>
    <row r="280" spans="1:14" x14ac:dyDescent="0.3">
      <c r="A280" t="s">
        <v>29</v>
      </c>
      <c r="B280" t="s">
        <v>472</v>
      </c>
      <c r="C280">
        <v>6</v>
      </c>
      <c r="D280">
        <v>128</v>
      </c>
      <c r="E280">
        <v>5110</v>
      </c>
      <c r="F280">
        <v>14999</v>
      </c>
      <c r="G280">
        <v>19999</v>
      </c>
      <c r="H280">
        <v>25</v>
      </c>
      <c r="I280">
        <v>4.3</v>
      </c>
      <c r="J280">
        <v>1400</v>
      </c>
      <c r="K280" t="s">
        <v>34</v>
      </c>
      <c r="L280">
        <v>6020</v>
      </c>
      <c r="M280">
        <v>2499.8333333333298</v>
      </c>
      <c r="N280" t="s">
        <v>473</v>
      </c>
    </row>
    <row r="281" spans="1:14" x14ac:dyDescent="0.3">
      <c r="A281" t="s">
        <v>29</v>
      </c>
      <c r="B281" t="s">
        <v>322</v>
      </c>
      <c r="C281">
        <v>4</v>
      </c>
      <c r="D281">
        <v>128</v>
      </c>
      <c r="E281">
        <v>5000</v>
      </c>
      <c r="F281">
        <v>14999</v>
      </c>
      <c r="G281">
        <v>19999</v>
      </c>
      <c r="H281">
        <v>25</v>
      </c>
      <c r="I281">
        <v>3.9</v>
      </c>
      <c r="J281">
        <v>753</v>
      </c>
      <c r="K281" t="s">
        <v>34</v>
      </c>
      <c r="L281">
        <v>2936.7</v>
      </c>
      <c r="M281">
        <v>3749.75</v>
      </c>
      <c r="N281" t="s">
        <v>474</v>
      </c>
    </row>
    <row r="282" spans="1:14" x14ac:dyDescent="0.3">
      <c r="A282" t="s">
        <v>22</v>
      </c>
      <c r="B282" t="s">
        <v>371</v>
      </c>
      <c r="C282" t="s">
        <v>24</v>
      </c>
      <c r="D282">
        <v>256</v>
      </c>
      <c r="E282" t="s">
        <v>25</v>
      </c>
      <c r="F282">
        <v>64900</v>
      </c>
      <c r="G282" t="s">
        <v>26</v>
      </c>
      <c r="H282" t="s">
        <v>27</v>
      </c>
      <c r="I282">
        <v>4.5999999999999996</v>
      </c>
      <c r="J282">
        <v>11944</v>
      </c>
      <c r="K282" t="s">
        <v>20</v>
      </c>
      <c r="L282">
        <v>54942.400000000001</v>
      </c>
      <c r="M282">
        <v>0</v>
      </c>
      <c r="N282" t="s">
        <v>475</v>
      </c>
    </row>
    <row r="283" spans="1:14" x14ac:dyDescent="0.3">
      <c r="A283" t="s">
        <v>22</v>
      </c>
      <c r="B283" t="s">
        <v>262</v>
      </c>
      <c r="C283" t="s">
        <v>24</v>
      </c>
      <c r="D283">
        <v>256</v>
      </c>
      <c r="E283" t="s">
        <v>25</v>
      </c>
      <c r="F283">
        <v>149900</v>
      </c>
      <c r="G283" t="s">
        <v>26</v>
      </c>
      <c r="H283" t="s">
        <v>27</v>
      </c>
      <c r="I283">
        <v>4.8</v>
      </c>
      <c r="J283">
        <v>39</v>
      </c>
      <c r="K283" t="s">
        <v>20</v>
      </c>
      <c r="L283">
        <v>187.2</v>
      </c>
      <c r="M283">
        <v>0</v>
      </c>
      <c r="N283" t="s">
        <v>476</v>
      </c>
    </row>
    <row r="284" spans="1:14" x14ac:dyDescent="0.3">
      <c r="A284" t="s">
        <v>18</v>
      </c>
      <c r="B284" t="s">
        <v>378</v>
      </c>
      <c r="C284">
        <v>8</v>
      </c>
      <c r="D284">
        <v>128</v>
      </c>
      <c r="E284">
        <v>5500</v>
      </c>
      <c r="F284">
        <v>25999</v>
      </c>
      <c r="G284">
        <v>29999</v>
      </c>
      <c r="H284">
        <v>13</v>
      </c>
      <c r="I284">
        <v>4.4000000000000004</v>
      </c>
      <c r="J284">
        <v>84</v>
      </c>
      <c r="K284" t="s">
        <v>16</v>
      </c>
      <c r="L284">
        <v>369.6</v>
      </c>
      <c r="M284">
        <v>3249.875</v>
      </c>
      <c r="N284" t="s">
        <v>477</v>
      </c>
    </row>
    <row r="285" spans="1:14" x14ac:dyDescent="0.3">
      <c r="A285" t="s">
        <v>22</v>
      </c>
      <c r="B285" t="s">
        <v>252</v>
      </c>
      <c r="C285" t="s">
        <v>24</v>
      </c>
      <c r="D285">
        <v>512</v>
      </c>
      <c r="E285" t="s">
        <v>25</v>
      </c>
      <c r="F285">
        <v>84900</v>
      </c>
      <c r="G285" t="s">
        <v>26</v>
      </c>
      <c r="H285" t="s">
        <v>27</v>
      </c>
      <c r="I285">
        <v>4.8</v>
      </c>
      <c r="J285">
        <v>0</v>
      </c>
      <c r="K285" t="s">
        <v>20</v>
      </c>
      <c r="L285">
        <v>0</v>
      </c>
      <c r="M285">
        <v>0</v>
      </c>
      <c r="N285" t="s">
        <v>478</v>
      </c>
    </row>
    <row r="286" spans="1:14" x14ac:dyDescent="0.3">
      <c r="A286" t="s">
        <v>14</v>
      </c>
      <c r="B286" t="s">
        <v>479</v>
      </c>
      <c r="C286">
        <v>4</v>
      </c>
      <c r="D286">
        <v>128</v>
      </c>
      <c r="E286">
        <v>5000</v>
      </c>
      <c r="F286">
        <v>16999</v>
      </c>
      <c r="G286">
        <v>17999</v>
      </c>
      <c r="H286">
        <v>5</v>
      </c>
      <c r="I286">
        <v>4.2</v>
      </c>
      <c r="J286">
        <v>9</v>
      </c>
      <c r="K286" t="s">
        <v>16</v>
      </c>
      <c r="L286">
        <v>37.799999999999997</v>
      </c>
      <c r="M286">
        <v>4249.75</v>
      </c>
      <c r="N286" t="s">
        <v>480</v>
      </c>
    </row>
    <row r="287" spans="1:14" x14ac:dyDescent="0.3">
      <c r="A287" t="s">
        <v>38</v>
      </c>
      <c r="B287" t="s">
        <v>309</v>
      </c>
      <c r="C287">
        <v>8</v>
      </c>
      <c r="D287">
        <v>128</v>
      </c>
      <c r="E287">
        <v>6000</v>
      </c>
      <c r="F287">
        <v>20999</v>
      </c>
      <c r="G287">
        <v>28999</v>
      </c>
      <c r="H287">
        <v>27</v>
      </c>
      <c r="I287">
        <v>4.4000000000000004</v>
      </c>
      <c r="J287">
        <v>1420</v>
      </c>
      <c r="K287" t="s">
        <v>16</v>
      </c>
      <c r="L287">
        <v>6248</v>
      </c>
      <c r="M287">
        <v>2624.875</v>
      </c>
      <c r="N287" t="s">
        <v>481</v>
      </c>
    </row>
    <row r="288" spans="1:14" x14ac:dyDescent="0.3">
      <c r="A288" t="s">
        <v>38</v>
      </c>
      <c r="B288" t="s">
        <v>482</v>
      </c>
      <c r="C288">
        <v>12</v>
      </c>
      <c r="D288">
        <v>256</v>
      </c>
      <c r="E288">
        <v>7000</v>
      </c>
      <c r="F288">
        <v>42999</v>
      </c>
      <c r="G288" t="s">
        <v>26</v>
      </c>
      <c r="H288" t="s">
        <v>27</v>
      </c>
      <c r="I288">
        <v>4.5</v>
      </c>
      <c r="J288">
        <v>40</v>
      </c>
      <c r="K288" t="s">
        <v>20</v>
      </c>
      <c r="L288">
        <v>180</v>
      </c>
      <c r="M288">
        <v>3583.25</v>
      </c>
      <c r="N288" t="s">
        <v>483</v>
      </c>
    </row>
    <row r="289" spans="1:14" x14ac:dyDescent="0.3">
      <c r="A289" t="s">
        <v>14</v>
      </c>
      <c r="B289" t="s">
        <v>484</v>
      </c>
      <c r="C289">
        <v>4</v>
      </c>
      <c r="D289">
        <v>64</v>
      </c>
      <c r="E289">
        <v>6000</v>
      </c>
      <c r="F289">
        <v>10999</v>
      </c>
      <c r="G289">
        <v>16499</v>
      </c>
      <c r="H289">
        <v>33</v>
      </c>
      <c r="I289">
        <v>4.0999999999999996</v>
      </c>
      <c r="J289">
        <v>43</v>
      </c>
      <c r="K289" t="s">
        <v>34</v>
      </c>
      <c r="L289">
        <v>176.29999999999899</v>
      </c>
      <c r="M289">
        <v>2749.75</v>
      </c>
      <c r="N289" t="s">
        <v>485</v>
      </c>
    </row>
    <row r="290" spans="1:14" x14ac:dyDescent="0.3">
      <c r="A290" t="s">
        <v>14</v>
      </c>
      <c r="B290" t="s">
        <v>486</v>
      </c>
      <c r="C290">
        <v>8</v>
      </c>
      <c r="D290">
        <v>128</v>
      </c>
      <c r="E290">
        <v>5000</v>
      </c>
      <c r="F290">
        <v>35999</v>
      </c>
      <c r="G290">
        <v>38799</v>
      </c>
      <c r="H290">
        <v>7</v>
      </c>
      <c r="I290">
        <v>4.3</v>
      </c>
      <c r="J290">
        <v>31</v>
      </c>
      <c r="K290" t="s">
        <v>16</v>
      </c>
      <c r="L290">
        <v>133.29999999999899</v>
      </c>
      <c r="M290">
        <v>4499.875</v>
      </c>
      <c r="N290" t="s">
        <v>487</v>
      </c>
    </row>
    <row r="291" spans="1:14" x14ac:dyDescent="0.3">
      <c r="A291" t="s">
        <v>38</v>
      </c>
      <c r="B291" t="s">
        <v>488</v>
      </c>
      <c r="C291">
        <v>12</v>
      </c>
      <c r="D291">
        <v>256</v>
      </c>
      <c r="E291">
        <v>7000</v>
      </c>
      <c r="F291">
        <v>72999</v>
      </c>
      <c r="G291">
        <v>79999</v>
      </c>
      <c r="H291">
        <v>8</v>
      </c>
      <c r="I291">
        <v>4.5999999999999996</v>
      </c>
      <c r="J291">
        <v>29</v>
      </c>
      <c r="K291" t="s">
        <v>20</v>
      </c>
      <c r="L291">
        <v>133.39999999999901</v>
      </c>
      <c r="M291">
        <v>6083.25</v>
      </c>
      <c r="N291" t="s">
        <v>489</v>
      </c>
    </row>
    <row r="292" spans="1:14" x14ac:dyDescent="0.3">
      <c r="A292" t="s">
        <v>38</v>
      </c>
      <c r="B292" t="s">
        <v>490</v>
      </c>
      <c r="C292">
        <v>4</v>
      </c>
      <c r="D292">
        <v>128</v>
      </c>
      <c r="E292">
        <v>5000</v>
      </c>
      <c r="F292">
        <v>12999</v>
      </c>
      <c r="G292" t="s">
        <v>26</v>
      </c>
      <c r="H292" t="s">
        <v>27</v>
      </c>
      <c r="I292">
        <v>4.5</v>
      </c>
      <c r="J292">
        <v>13219</v>
      </c>
      <c r="K292" t="s">
        <v>34</v>
      </c>
      <c r="L292">
        <v>59485.5</v>
      </c>
      <c r="M292">
        <v>3249.75</v>
      </c>
      <c r="N292" t="s">
        <v>491</v>
      </c>
    </row>
    <row r="293" spans="1:14" x14ac:dyDescent="0.3">
      <c r="A293" t="s">
        <v>14</v>
      </c>
      <c r="B293" t="s">
        <v>139</v>
      </c>
      <c r="C293">
        <v>12</v>
      </c>
      <c r="D293">
        <v>256</v>
      </c>
      <c r="E293">
        <v>5000</v>
      </c>
      <c r="F293">
        <v>38499</v>
      </c>
      <c r="G293">
        <v>41999</v>
      </c>
      <c r="H293">
        <v>8</v>
      </c>
      <c r="I293">
        <v>4.4000000000000004</v>
      </c>
      <c r="J293">
        <v>21</v>
      </c>
      <c r="K293" t="s">
        <v>16</v>
      </c>
      <c r="L293">
        <v>92.4</v>
      </c>
      <c r="M293">
        <v>3208.25</v>
      </c>
      <c r="N293" t="s">
        <v>492</v>
      </c>
    </row>
    <row r="294" spans="1:14" x14ac:dyDescent="0.3">
      <c r="A294" t="s">
        <v>29</v>
      </c>
      <c r="B294" t="s">
        <v>439</v>
      </c>
      <c r="C294">
        <v>8</v>
      </c>
      <c r="D294">
        <v>256</v>
      </c>
      <c r="E294">
        <v>5500</v>
      </c>
      <c r="F294">
        <v>22955</v>
      </c>
      <c r="G294">
        <v>30999</v>
      </c>
      <c r="H294">
        <v>25</v>
      </c>
      <c r="I294">
        <v>4.4000000000000004</v>
      </c>
      <c r="J294">
        <v>387</v>
      </c>
      <c r="K294" t="s">
        <v>16</v>
      </c>
      <c r="L294">
        <v>1702.8</v>
      </c>
      <c r="M294">
        <v>2869.375</v>
      </c>
      <c r="N294" t="s">
        <v>493</v>
      </c>
    </row>
    <row r="295" spans="1:14" x14ac:dyDescent="0.3">
      <c r="A295" t="s">
        <v>38</v>
      </c>
      <c r="B295" t="s">
        <v>88</v>
      </c>
      <c r="C295">
        <v>4</v>
      </c>
      <c r="D295">
        <v>128</v>
      </c>
      <c r="E295">
        <v>5000</v>
      </c>
      <c r="F295">
        <v>11999</v>
      </c>
      <c r="G295">
        <v>16999</v>
      </c>
      <c r="H295">
        <v>29</v>
      </c>
      <c r="I295">
        <v>4.0999999999999996</v>
      </c>
      <c r="J295">
        <v>933</v>
      </c>
      <c r="K295" t="s">
        <v>34</v>
      </c>
      <c r="L295">
        <v>3825.3</v>
      </c>
      <c r="M295">
        <v>2999.75</v>
      </c>
      <c r="N295" t="s">
        <v>494</v>
      </c>
    </row>
    <row r="296" spans="1:14" x14ac:dyDescent="0.3">
      <c r="A296" t="s">
        <v>44</v>
      </c>
      <c r="B296" t="s">
        <v>495</v>
      </c>
      <c r="C296">
        <v>6</v>
      </c>
      <c r="D296">
        <v>128</v>
      </c>
      <c r="E296">
        <v>5000</v>
      </c>
      <c r="F296">
        <v>20999</v>
      </c>
      <c r="G296" t="s">
        <v>26</v>
      </c>
      <c r="H296" t="s">
        <v>27</v>
      </c>
      <c r="I296">
        <v>4.4000000000000004</v>
      </c>
      <c r="J296">
        <v>770</v>
      </c>
      <c r="K296" t="s">
        <v>16</v>
      </c>
      <c r="L296">
        <v>3388</v>
      </c>
      <c r="M296">
        <v>3499.8333333333298</v>
      </c>
      <c r="N296" t="s">
        <v>496</v>
      </c>
    </row>
    <row r="297" spans="1:14" x14ac:dyDescent="0.3">
      <c r="A297" t="s">
        <v>44</v>
      </c>
      <c r="B297" t="s">
        <v>497</v>
      </c>
      <c r="C297">
        <v>8</v>
      </c>
      <c r="D297">
        <v>256</v>
      </c>
      <c r="E297">
        <v>5000</v>
      </c>
      <c r="F297">
        <v>34999</v>
      </c>
      <c r="G297" t="s">
        <v>26</v>
      </c>
      <c r="H297" t="s">
        <v>27</v>
      </c>
      <c r="I297">
        <v>4.4000000000000004</v>
      </c>
      <c r="J297">
        <v>718</v>
      </c>
      <c r="K297" t="s">
        <v>16</v>
      </c>
      <c r="L297">
        <v>3159.2</v>
      </c>
      <c r="M297">
        <v>4374.875</v>
      </c>
      <c r="N297" t="s">
        <v>498</v>
      </c>
    </row>
    <row r="298" spans="1:14" x14ac:dyDescent="0.3">
      <c r="A298" t="s">
        <v>14</v>
      </c>
      <c r="B298" t="s">
        <v>499</v>
      </c>
      <c r="C298">
        <v>6</v>
      </c>
      <c r="D298">
        <v>128</v>
      </c>
      <c r="E298">
        <v>5000</v>
      </c>
      <c r="F298">
        <v>20799</v>
      </c>
      <c r="G298">
        <v>32999</v>
      </c>
      <c r="H298">
        <v>36</v>
      </c>
      <c r="I298">
        <v>4.4000000000000004</v>
      </c>
      <c r="J298">
        <v>8</v>
      </c>
      <c r="K298" t="s">
        <v>16</v>
      </c>
      <c r="L298">
        <v>35.200000000000003</v>
      </c>
      <c r="M298">
        <v>3466.5</v>
      </c>
      <c r="N298" t="s">
        <v>500</v>
      </c>
    </row>
    <row r="299" spans="1:14" x14ac:dyDescent="0.3">
      <c r="A299" t="s">
        <v>44</v>
      </c>
      <c r="B299" t="s">
        <v>495</v>
      </c>
      <c r="C299">
        <v>8</v>
      </c>
      <c r="D299">
        <v>128</v>
      </c>
      <c r="E299">
        <v>5000</v>
      </c>
      <c r="F299">
        <v>25999</v>
      </c>
      <c r="G299" t="s">
        <v>26</v>
      </c>
      <c r="H299" t="s">
        <v>27</v>
      </c>
      <c r="I299">
        <v>4.4000000000000004</v>
      </c>
      <c r="J299">
        <v>5056</v>
      </c>
      <c r="K299" t="s">
        <v>16</v>
      </c>
      <c r="L299">
        <v>22246.400000000001</v>
      </c>
      <c r="M299">
        <v>3249.875</v>
      </c>
      <c r="N299" t="s">
        <v>496</v>
      </c>
    </row>
    <row r="300" spans="1:14" x14ac:dyDescent="0.3">
      <c r="A300" t="s">
        <v>44</v>
      </c>
      <c r="B300" t="s">
        <v>497</v>
      </c>
      <c r="C300">
        <v>8</v>
      </c>
      <c r="D300">
        <v>128</v>
      </c>
      <c r="E300">
        <v>5000</v>
      </c>
      <c r="F300">
        <v>32999</v>
      </c>
      <c r="G300" t="s">
        <v>26</v>
      </c>
      <c r="H300" t="s">
        <v>27</v>
      </c>
      <c r="I300">
        <v>4.4000000000000004</v>
      </c>
      <c r="J300">
        <v>718</v>
      </c>
      <c r="K300" t="s">
        <v>16</v>
      </c>
      <c r="L300">
        <v>3159.2</v>
      </c>
      <c r="M300">
        <v>4124.875</v>
      </c>
      <c r="N300" t="s">
        <v>501</v>
      </c>
    </row>
    <row r="301" spans="1:14" x14ac:dyDescent="0.3">
      <c r="A301" t="s">
        <v>44</v>
      </c>
      <c r="B301" t="s">
        <v>82</v>
      </c>
      <c r="C301">
        <v>16</v>
      </c>
      <c r="D301">
        <v>512</v>
      </c>
      <c r="E301">
        <v>7025</v>
      </c>
      <c r="F301">
        <v>84999</v>
      </c>
      <c r="G301">
        <v>89999</v>
      </c>
      <c r="H301">
        <v>5</v>
      </c>
      <c r="I301">
        <v>4.4000000000000004</v>
      </c>
      <c r="J301">
        <v>18</v>
      </c>
      <c r="K301" t="s">
        <v>20</v>
      </c>
      <c r="L301">
        <v>79.2</v>
      </c>
      <c r="M301">
        <v>5312.4375</v>
      </c>
      <c r="N301" t="s">
        <v>502</v>
      </c>
    </row>
    <row r="302" spans="1:14" x14ac:dyDescent="0.3">
      <c r="A302" t="s">
        <v>29</v>
      </c>
      <c r="B302" t="s">
        <v>503</v>
      </c>
      <c r="C302">
        <v>8</v>
      </c>
      <c r="D302">
        <v>256</v>
      </c>
      <c r="E302">
        <v>6500</v>
      </c>
      <c r="F302">
        <v>35818</v>
      </c>
      <c r="G302">
        <v>40999</v>
      </c>
      <c r="H302">
        <v>12</v>
      </c>
      <c r="I302">
        <v>5</v>
      </c>
      <c r="J302">
        <v>0</v>
      </c>
      <c r="K302" t="s">
        <v>16</v>
      </c>
      <c r="L302">
        <v>0</v>
      </c>
      <c r="M302">
        <v>4477.25</v>
      </c>
      <c r="N302" t="s">
        <v>504</v>
      </c>
    </row>
    <row r="303" spans="1:14" x14ac:dyDescent="0.3">
      <c r="A303" t="s">
        <v>14</v>
      </c>
      <c r="B303" t="s">
        <v>505</v>
      </c>
      <c r="C303">
        <v>8</v>
      </c>
      <c r="D303">
        <v>128</v>
      </c>
      <c r="E303">
        <v>3300</v>
      </c>
      <c r="F303">
        <v>95999</v>
      </c>
      <c r="G303" t="s">
        <v>26</v>
      </c>
      <c r="H303" t="s">
        <v>27</v>
      </c>
      <c r="I303">
        <v>4.2</v>
      </c>
      <c r="J303">
        <v>603</v>
      </c>
      <c r="K303" t="s">
        <v>20</v>
      </c>
      <c r="L303">
        <v>2532.6</v>
      </c>
      <c r="M303">
        <v>11999.875</v>
      </c>
      <c r="N303" t="s">
        <v>506</v>
      </c>
    </row>
    <row r="304" spans="1:14" x14ac:dyDescent="0.3">
      <c r="A304" t="s">
        <v>38</v>
      </c>
      <c r="B304" t="s">
        <v>154</v>
      </c>
      <c r="C304">
        <v>6</v>
      </c>
      <c r="D304">
        <v>128</v>
      </c>
      <c r="E304">
        <v>5000</v>
      </c>
      <c r="F304">
        <v>15999</v>
      </c>
      <c r="G304">
        <v>17999</v>
      </c>
      <c r="H304">
        <v>11</v>
      </c>
      <c r="I304">
        <v>4.4000000000000004</v>
      </c>
      <c r="J304">
        <v>4809</v>
      </c>
      <c r="K304" t="s">
        <v>16</v>
      </c>
      <c r="L304">
        <v>21159.599999999999</v>
      </c>
      <c r="M304">
        <v>2666.5</v>
      </c>
      <c r="N304" t="s">
        <v>507</v>
      </c>
    </row>
    <row r="305" spans="1:14" x14ac:dyDescent="0.3">
      <c r="A305" t="s">
        <v>38</v>
      </c>
      <c r="B305" t="s">
        <v>508</v>
      </c>
      <c r="C305">
        <v>8</v>
      </c>
      <c r="D305">
        <v>128</v>
      </c>
      <c r="E305">
        <v>5200</v>
      </c>
      <c r="F305">
        <v>21999</v>
      </c>
      <c r="G305">
        <v>25999</v>
      </c>
      <c r="H305">
        <v>15</v>
      </c>
      <c r="I305">
        <v>4.3</v>
      </c>
      <c r="J305">
        <v>51</v>
      </c>
      <c r="K305" t="s">
        <v>16</v>
      </c>
      <c r="L305">
        <v>219.3</v>
      </c>
      <c r="M305">
        <v>2749.875</v>
      </c>
      <c r="N305" t="s">
        <v>509</v>
      </c>
    </row>
    <row r="306" spans="1:14" x14ac:dyDescent="0.3">
      <c r="A306" t="s">
        <v>38</v>
      </c>
      <c r="B306" t="s">
        <v>107</v>
      </c>
      <c r="C306">
        <v>8</v>
      </c>
      <c r="D306">
        <v>128</v>
      </c>
      <c r="E306">
        <v>6000</v>
      </c>
      <c r="F306">
        <v>32999</v>
      </c>
      <c r="G306">
        <v>33999</v>
      </c>
      <c r="H306">
        <v>2</v>
      </c>
      <c r="I306">
        <v>4.4000000000000004</v>
      </c>
      <c r="J306">
        <v>2315</v>
      </c>
      <c r="K306" t="s">
        <v>16</v>
      </c>
      <c r="L306">
        <v>10186</v>
      </c>
      <c r="M306">
        <v>4124.875</v>
      </c>
      <c r="N306" t="s">
        <v>510</v>
      </c>
    </row>
    <row r="307" spans="1:14" x14ac:dyDescent="0.3">
      <c r="A307" t="s">
        <v>22</v>
      </c>
      <c r="B307" t="s">
        <v>421</v>
      </c>
      <c r="C307" t="s">
        <v>24</v>
      </c>
      <c r="D307">
        <v>64</v>
      </c>
      <c r="E307" t="s">
        <v>25</v>
      </c>
      <c r="F307">
        <v>49900</v>
      </c>
      <c r="G307" t="s">
        <v>26</v>
      </c>
      <c r="H307" t="s">
        <v>27</v>
      </c>
      <c r="I307">
        <v>4.5999999999999996</v>
      </c>
      <c r="J307">
        <v>13889</v>
      </c>
      <c r="K307" t="s">
        <v>20</v>
      </c>
      <c r="L307">
        <v>63889.4</v>
      </c>
      <c r="M307">
        <v>0</v>
      </c>
      <c r="N307" t="s">
        <v>511</v>
      </c>
    </row>
    <row r="308" spans="1:14" x14ac:dyDescent="0.3">
      <c r="A308" t="s">
        <v>14</v>
      </c>
      <c r="B308" t="s">
        <v>103</v>
      </c>
      <c r="C308">
        <v>6</v>
      </c>
      <c r="D308">
        <v>128</v>
      </c>
      <c r="E308">
        <v>6000</v>
      </c>
      <c r="F308">
        <v>15499</v>
      </c>
      <c r="G308">
        <v>18999</v>
      </c>
      <c r="H308">
        <v>18</v>
      </c>
      <c r="I308">
        <v>4.2</v>
      </c>
      <c r="J308">
        <v>35</v>
      </c>
      <c r="K308" t="s">
        <v>16</v>
      </c>
      <c r="L308">
        <v>147</v>
      </c>
      <c r="M308">
        <v>2583.1666666666601</v>
      </c>
      <c r="N308" t="s">
        <v>104</v>
      </c>
    </row>
    <row r="309" spans="1:14" x14ac:dyDescent="0.3">
      <c r="A309" t="s">
        <v>29</v>
      </c>
      <c r="B309" t="s">
        <v>180</v>
      </c>
      <c r="C309">
        <v>8</v>
      </c>
      <c r="D309">
        <v>128</v>
      </c>
      <c r="E309">
        <v>5520</v>
      </c>
      <c r="F309">
        <v>21114</v>
      </c>
      <c r="G309">
        <v>26999</v>
      </c>
      <c r="H309">
        <v>21</v>
      </c>
      <c r="I309">
        <v>4.4000000000000004</v>
      </c>
      <c r="J309">
        <v>3</v>
      </c>
      <c r="K309" t="s">
        <v>16</v>
      </c>
      <c r="L309">
        <v>13.2</v>
      </c>
      <c r="M309">
        <v>2639.25</v>
      </c>
      <c r="N309" t="s">
        <v>512</v>
      </c>
    </row>
    <row r="310" spans="1:14" x14ac:dyDescent="0.3">
      <c r="A310" t="s">
        <v>22</v>
      </c>
      <c r="B310" t="s">
        <v>120</v>
      </c>
      <c r="C310" t="s">
        <v>24</v>
      </c>
      <c r="D310">
        <v>256</v>
      </c>
      <c r="E310" t="s">
        <v>25</v>
      </c>
      <c r="F310">
        <v>134900</v>
      </c>
      <c r="G310" t="s">
        <v>26</v>
      </c>
      <c r="H310" t="s">
        <v>27</v>
      </c>
      <c r="I310">
        <v>4.7</v>
      </c>
      <c r="J310">
        <v>72</v>
      </c>
      <c r="K310" t="s">
        <v>20</v>
      </c>
      <c r="L310">
        <v>338.4</v>
      </c>
      <c r="M310">
        <v>0</v>
      </c>
      <c r="N310" t="s">
        <v>513</v>
      </c>
    </row>
    <row r="311" spans="1:14" x14ac:dyDescent="0.3">
      <c r="A311" t="s">
        <v>14</v>
      </c>
      <c r="B311" t="s">
        <v>514</v>
      </c>
      <c r="C311">
        <v>4</v>
      </c>
      <c r="D311">
        <v>64</v>
      </c>
      <c r="E311">
        <v>5000</v>
      </c>
      <c r="F311">
        <v>7248</v>
      </c>
      <c r="G311">
        <v>9999</v>
      </c>
      <c r="H311">
        <v>27</v>
      </c>
      <c r="I311">
        <v>4.3</v>
      </c>
      <c r="J311">
        <v>6</v>
      </c>
      <c r="K311" t="s">
        <v>34</v>
      </c>
      <c r="L311">
        <v>25.8</v>
      </c>
      <c r="M311">
        <v>1812</v>
      </c>
      <c r="N311" t="s">
        <v>515</v>
      </c>
    </row>
    <row r="312" spans="1:14" x14ac:dyDescent="0.3">
      <c r="A312" t="s">
        <v>38</v>
      </c>
      <c r="B312" t="s">
        <v>508</v>
      </c>
      <c r="C312">
        <v>8</v>
      </c>
      <c r="D312">
        <v>256</v>
      </c>
      <c r="E312">
        <v>5200</v>
      </c>
      <c r="F312">
        <v>23999</v>
      </c>
      <c r="G312">
        <v>27999</v>
      </c>
      <c r="H312">
        <v>14</v>
      </c>
      <c r="I312">
        <v>4.3</v>
      </c>
      <c r="J312">
        <v>51</v>
      </c>
      <c r="K312" t="s">
        <v>16</v>
      </c>
      <c r="L312">
        <v>219.3</v>
      </c>
      <c r="M312">
        <v>2999.875</v>
      </c>
      <c r="N312" t="s">
        <v>516</v>
      </c>
    </row>
    <row r="313" spans="1:14" x14ac:dyDescent="0.3">
      <c r="A313" t="s">
        <v>44</v>
      </c>
      <c r="B313" t="s">
        <v>235</v>
      </c>
      <c r="C313">
        <v>4</v>
      </c>
      <c r="D313">
        <v>128</v>
      </c>
      <c r="E313">
        <v>6000</v>
      </c>
      <c r="F313">
        <v>12499</v>
      </c>
      <c r="G313">
        <v>15999</v>
      </c>
      <c r="H313">
        <v>21</v>
      </c>
      <c r="I313">
        <v>4.4000000000000004</v>
      </c>
      <c r="J313">
        <v>1772</v>
      </c>
      <c r="K313" t="s">
        <v>34</v>
      </c>
      <c r="L313">
        <v>7796.8</v>
      </c>
      <c r="M313">
        <v>3124.75</v>
      </c>
      <c r="N313" t="s">
        <v>445</v>
      </c>
    </row>
    <row r="314" spans="1:14" x14ac:dyDescent="0.3">
      <c r="A314" t="s">
        <v>38</v>
      </c>
      <c r="B314" t="s">
        <v>517</v>
      </c>
      <c r="C314">
        <v>6</v>
      </c>
      <c r="D314">
        <v>128</v>
      </c>
      <c r="E314">
        <v>6300</v>
      </c>
      <c r="F314">
        <v>9699</v>
      </c>
      <c r="G314">
        <v>10999</v>
      </c>
      <c r="H314">
        <v>11</v>
      </c>
      <c r="I314">
        <v>4.2</v>
      </c>
      <c r="J314">
        <v>355</v>
      </c>
      <c r="K314" t="s">
        <v>34</v>
      </c>
      <c r="L314">
        <v>1491</v>
      </c>
      <c r="M314">
        <v>1616.5</v>
      </c>
      <c r="N314" t="s">
        <v>518</v>
      </c>
    </row>
    <row r="315" spans="1:14" x14ac:dyDescent="0.3">
      <c r="A315" t="s">
        <v>14</v>
      </c>
      <c r="B315" t="s">
        <v>519</v>
      </c>
      <c r="C315">
        <v>4</v>
      </c>
      <c r="D315">
        <v>64</v>
      </c>
      <c r="E315">
        <v>3000</v>
      </c>
      <c r="F315">
        <v>17600</v>
      </c>
      <c r="G315" t="s">
        <v>26</v>
      </c>
      <c r="H315" t="s">
        <v>27</v>
      </c>
      <c r="I315">
        <v>4.4000000000000004</v>
      </c>
      <c r="J315">
        <v>9198</v>
      </c>
      <c r="K315" t="s">
        <v>16</v>
      </c>
      <c r="L315">
        <v>40471.199999999997</v>
      </c>
      <c r="M315">
        <v>4400</v>
      </c>
      <c r="N315" t="s">
        <v>520</v>
      </c>
    </row>
    <row r="316" spans="1:14" x14ac:dyDescent="0.3">
      <c r="A316" t="s">
        <v>38</v>
      </c>
      <c r="B316" t="s">
        <v>328</v>
      </c>
      <c r="C316">
        <v>4</v>
      </c>
      <c r="D316">
        <v>128</v>
      </c>
      <c r="E316">
        <v>5000</v>
      </c>
      <c r="F316">
        <v>10999</v>
      </c>
      <c r="G316">
        <v>12999</v>
      </c>
      <c r="H316">
        <v>15</v>
      </c>
      <c r="I316">
        <v>4.4000000000000004</v>
      </c>
      <c r="J316">
        <v>273</v>
      </c>
      <c r="K316" t="s">
        <v>34</v>
      </c>
      <c r="L316">
        <v>1201.2</v>
      </c>
      <c r="M316">
        <v>2749.75</v>
      </c>
      <c r="N316" t="s">
        <v>435</v>
      </c>
    </row>
    <row r="317" spans="1:14" x14ac:dyDescent="0.3">
      <c r="A317" t="s">
        <v>38</v>
      </c>
      <c r="B317" t="s">
        <v>465</v>
      </c>
      <c r="C317">
        <v>4</v>
      </c>
      <c r="D317">
        <v>64</v>
      </c>
      <c r="E317">
        <v>7000</v>
      </c>
      <c r="F317">
        <v>13499</v>
      </c>
      <c r="G317">
        <v>19999</v>
      </c>
      <c r="H317">
        <v>32</v>
      </c>
      <c r="I317">
        <v>4.0999999999999996</v>
      </c>
      <c r="J317">
        <v>2</v>
      </c>
      <c r="K317" t="s">
        <v>34</v>
      </c>
      <c r="L317">
        <v>8.1999999999999993</v>
      </c>
      <c r="M317">
        <v>3374.75</v>
      </c>
      <c r="N317" t="s">
        <v>521</v>
      </c>
    </row>
    <row r="318" spans="1:14" x14ac:dyDescent="0.3">
      <c r="A318" t="s">
        <v>38</v>
      </c>
      <c r="B318" t="s">
        <v>318</v>
      </c>
      <c r="C318">
        <v>12</v>
      </c>
      <c r="D318">
        <v>512</v>
      </c>
      <c r="E318">
        <v>7000</v>
      </c>
      <c r="F318">
        <v>37999</v>
      </c>
      <c r="G318">
        <v>42999</v>
      </c>
      <c r="H318">
        <v>11</v>
      </c>
      <c r="I318">
        <v>4.4000000000000004</v>
      </c>
      <c r="J318">
        <v>410</v>
      </c>
      <c r="K318" t="s">
        <v>16</v>
      </c>
      <c r="L318">
        <v>1804</v>
      </c>
      <c r="M318">
        <v>3166.5833333333298</v>
      </c>
      <c r="N318" t="s">
        <v>522</v>
      </c>
    </row>
    <row r="319" spans="1:14" x14ac:dyDescent="0.3">
      <c r="A319" t="s">
        <v>18</v>
      </c>
      <c r="B319" t="s">
        <v>385</v>
      </c>
      <c r="C319">
        <v>12</v>
      </c>
      <c r="D319">
        <v>512</v>
      </c>
      <c r="E319">
        <v>6000</v>
      </c>
      <c r="F319">
        <v>38999</v>
      </c>
      <c r="G319">
        <v>48999</v>
      </c>
      <c r="H319">
        <v>20</v>
      </c>
      <c r="I319">
        <v>4.5</v>
      </c>
      <c r="J319">
        <v>182</v>
      </c>
      <c r="K319" t="s">
        <v>16</v>
      </c>
      <c r="L319">
        <v>819</v>
      </c>
      <c r="M319">
        <v>3249.9166666666601</v>
      </c>
      <c r="N319" t="s">
        <v>523</v>
      </c>
    </row>
    <row r="320" spans="1:14" x14ac:dyDescent="0.3">
      <c r="A320" t="s">
        <v>38</v>
      </c>
      <c r="B320" t="s">
        <v>318</v>
      </c>
      <c r="C320">
        <v>12</v>
      </c>
      <c r="D320">
        <v>256</v>
      </c>
      <c r="E320">
        <v>7000</v>
      </c>
      <c r="F320">
        <v>34999</v>
      </c>
      <c r="G320">
        <v>39999</v>
      </c>
      <c r="H320">
        <v>12</v>
      </c>
      <c r="I320">
        <v>4.4000000000000004</v>
      </c>
      <c r="J320">
        <v>410</v>
      </c>
      <c r="K320" t="s">
        <v>16</v>
      </c>
      <c r="L320">
        <v>1804</v>
      </c>
      <c r="M320">
        <v>2916.5833333333298</v>
      </c>
      <c r="N320" t="s">
        <v>524</v>
      </c>
    </row>
    <row r="321" spans="1:14" x14ac:dyDescent="0.3">
      <c r="A321" t="s">
        <v>38</v>
      </c>
      <c r="B321" t="s">
        <v>318</v>
      </c>
      <c r="C321">
        <v>8</v>
      </c>
      <c r="D321">
        <v>256</v>
      </c>
      <c r="E321">
        <v>7000</v>
      </c>
      <c r="F321">
        <v>32999</v>
      </c>
      <c r="G321">
        <v>37999</v>
      </c>
      <c r="H321">
        <v>13</v>
      </c>
      <c r="I321">
        <v>4.3</v>
      </c>
      <c r="J321">
        <v>805</v>
      </c>
      <c r="K321" t="s">
        <v>16</v>
      </c>
      <c r="L321">
        <v>3461.5</v>
      </c>
      <c r="M321">
        <v>4124.875</v>
      </c>
      <c r="N321" t="s">
        <v>524</v>
      </c>
    </row>
    <row r="322" spans="1:14" x14ac:dyDescent="0.3">
      <c r="A322" t="s">
        <v>38</v>
      </c>
      <c r="B322" t="s">
        <v>367</v>
      </c>
      <c r="C322">
        <v>12</v>
      </c>
      <c r="D322">
        <v>512</v>
      </c>
      <c r="E322">
        <v>5200</v>
      </c>
      <c r="F322">
        <v>23999</v>
      </c>
      <c r="G322">
        <v>30999</v>
      </c>
      <c r="H322">
        <v>22</v>
      </c>
      <c r="I322">
        <v>4.4000000000000004</v>
      </c>
      <c r="J322">
        <v>1655</v>
      </c>
      <c r="K322" t="s">
        <v>16</v>
      </c>
      <c r="L322">
        <v>7282</v>
      </c>
      <c r="M322">
        <v>1999.9166666666599</v>
      </c>
      <c r="N322" t="s">
        <v>525</v>
      </c>
    </row>
    <row r="323" spans="1:14" x14ac:dyDescent="0.3">
      <c r="A323" t="s">
        <v>14</v>
      </c>
      <c r="B323" t="s">
        <v>408</v>
      </c>
      <c r="C323">
        <v>8</v>
      </c>
      <c r="D323">
        <v>256</v>
      </c>
      <c r="E323">
        <v>5000</v>
      </c>
      <c r="F323">
        <v>29399</v>
      </c>
      <c r="G323">
        <v>31999</v>
      </c>
      <c r="H323">
        <v>8</v>
      </c>
      <c r="I323">
        <v>4</v>
      </c>
      <c r="J323">
        <v>267</v>
      </c>
      <c r="K323" t="s">
        <v>16</v>
      </c>
      <c r="L323">
        <v>1068</v>
      </c>
      <c r="M323">
        <v>3674.875</v>
      </c>
      <c r="N323" t="s">
        <v>526</v>
      </c>
    </row>
    <row r="324" spans="1:14" x14ac:dyDescent="0.3">
      <c r="A324" t="s">
        <v>38</v>
      </c>
      <c r="B324" t="s">
        <v>209</v>
      </c>
      <c r="C324">
        <v>8</v>
      </c>
      <c r="D324">
        <v>256</v>
      </c>
      <c r="E324">
        <v>7000</v>
      </c>
      <c r="F324">
        <v>29999</v>
      </c>
      <c r="G324">
        <v>30999</v>
      </c>
      <c r="H324">
        <v>3</v>
      </c>
      <c r="I324">
        <v>4.4000000000000004</v>
      </c>
      <c r="J324">
        <v>1480</v>
      </c>
      <c r="K324" t="s">
        <v>16</v>
      </c>
      <c r="L324">
        <v>6512</v>
      </c>
      <c r="M324">
        <v>3749.875</v>
      </c>
      <c r="N324" t="s">
        <v>369</v>
      </c>
    </row>
    <row r="325" spans="1:14" x14ac:dyDescent="0.3">
      <c r="A325" t="s">
        <v>38</v>
      </c>
      <c r="B325" t="s">
        <v>152</v>
      </c>
      <c r="C325">
        <v>8</v>
      </c>
      <c r="D325">
        <v>256</v>
      </c>
      <c r="E325">
        <v>6000</v>
      </c>
      <c r="F325">
        <v>18499</v>
      </c>
      <c r="G325">
        <v>22999</v>
      </c>
      <c r="H325">
        <v>19</v>
      </c>
      <c r="I325">
        <v>4.4000000000000004</v>
      </c>
      <c r="J325">
        <v>1461</v>
      </c>
      <c r="K325" t="s">
        <v>16</v>
      </c>
      <c r="L325">
        <v>6428.4</v>
      </c>
      <c r="M325">
        <v>2312.375</v>
      </c>
      <c r="N325" t="s">
        <v>527</v>
      </c>
    </row>
    <row r="326" spans="1:14" x14ac:dyDescent="0.3">
      <c r="A326" t="s">
        <v>14</v>
      </c>
      <c r="B326" t="s">
        <v>528</v>
      </c>
      <c r="C326">
        <v>8</v>
      </c>
      <c r="D326">
        <v>128</v>
      </c>
      <c r="E326">
        <v>4500</v>
      </c>
      <c r="F326">
        <v>79999</v>
      </c>
      <c r="G326" t="s">
        <v>26</v>
      </c>
      <c r="H326" t="s">
        <v>27</v>
      </c>
      <c r="I326">
        <v>4.4000000000000004</v>
      </c>
      <c r="J326">
        <v>4544</v>
      </c>
      <c r="K326" t="s">
        <v>20</v>
      </c>
      <c r="L326">
        <v>19993.599999999999</v>
      </c>
      <c r="M326">
        <v>9999.875</v>
      </c>
      <c r="N326" t="s">
        <v>529</v>
      </c>
    </row>
    <row r="327" spans="1:14" x14ac:dyDescent="0.3">
      <c r="A327" t="s">
        <v>44</v>
      </c>
      <c r="B327" t="s">
        <v>388</v>
      </c>
      <c r="C327">
        <v>8</v>
      </c>
      <c r="D327">
        <v>256</v>
      </c>
      <c r="E327">
        <v>7000</v>
      </c>
      <c r="F327">
        <v>32999</v>
      </c>
      <c r="G327">
        <v>37999</v>
      </c>
      <c r="H327">
        <v>13</v>
      </c>
      <c r="I327">
        <v>4.4000000000000004</v>
      </c>
      <c r="J327">
        <v>36</v>
      </c>
      <c r="K327" t="s">
        <v>16</v>
      </c>
      <c r="L327">
        <v>158.4</v>
      </c>
      <c r="M327">
        <v>4124.875</v>
      </c>
      <c r="N327" t="s">
        <v>530</v>
      </c>
    </row>
    <row r="328" spans="1:14" x14ac:dyDescent="0.3">
      <c r="A328" t="s">
        <v>14</v>
      </c>
      <c r="B328" t="s">
        <v>531</v>
      </c>
      <c r="C328">
        <v>4</v>
      </c>
      <c r="D328">
        <v>128</v>
      </c>
      <c r="E328">
        <v>6000</v>
      </c>
      <c r="F328">
        <v>16999</v>
      </c>
      <c r="G328" t="s">
        <v>26</v>
      </c>
      <c r="H328" t="s">
        <v>27</v>
      </c>
      <c r="I328">
        <v>4.3</v>
      </c>
      <c r="J328">
        <v>11777</v>
      </c>
      <c r="K328" t="s">
        <v>16</v>
      </c>
      <c r="L328">
        <v>50641.1</v>
      </c>
      <c r="M328">
        <v>4249.75</v>
      </c>
      <c r="N328" t="s">
        <v>532</v>
      </c>
    </row>
    <row r="329" spans="1:14" x14ac:dyDescent="0.3">
      <c r="A329" t="s">
        <v>29</v>
      </c>
      <c r="B329" t="s">
        <v>129</v>
      </c>
      <c r="C329">
        <v>6</v>
      </c>
      <c r="D329">
        <v>128</v>
      </c>
      <c r="E329">
        <v>6000</v>
      </c>
      <c r="F329">
        <v>15079</v>
      </c>
      <c r="G329">
        <v>15999</v>
      </c>
      <c r="H329">
        <v>5</v>
      </c>
      <c r="I329">
        <v>4.3</v>
      </c>
      <c r="J329">
        <v>8</v>
      </c>
      <c r="K329" t="s">
        <v>16</v>
      </c>
      <c r="L329">
        <v>34.4</v>
      </c>
      <c r="M329">
        <v>2513.1666666666601</v>
      </c>
      <c r="N329" t="s">
        <v>533</v>
      </c>
    </row>
    <row r="330" spans="1:14" x14ac:dyDescent="0.3">
      <c r="A330" t="s">
        <v>14</v>
      </c>
      <c r="B330" t="s">
        <v>534</v>
      </c>
      <c r="C330">
        <v>12</v>
      </c>
      <c r="D330">
        <v>256</v>
      </c>
      <c r="E330">
        <v>4900</v>
      </c>
      <c r="F330">
        <v>59999</v>
      </c>
      <c r="G330">
        <v>99999</v>
      </c>
      <c r="H330">
        <v>40</v>
      </c>
      <c r="I330">
        <v>4.5</v>
      </c>
      <c r="J330">
        <v>955</v>
      </c>
      <c r="K330" t="s">
        <v>20</v>
      </c>
      <c r="L330">
        <v>4297.5</v>
      </c>
      <c r="M330">
        <v>4999.9166666666597</v>
      </c>
      <c r="N330" t="s">
        <v>535</v>
      </c>
    </row>
    <row r="331" spans="1:14" x14ac:dyDescent="0.3">
      <c r="A331" t="s">
        <v>14</v>
      </c>
      <c r="B331" t="s">
        <v>536</v>
      </c>
      <c r="C331">
        <v>8</v>
      </c>
      <c r="D331">
        <v>128</v>
      </c>
      <c r="E331">
        <v>3900</v>
      </c>
      <c r="F331">
        <v>89999</v>
      </c>
      <c r="G331" t="s">
        <v>26</v>
      </c>
      <c r="H331" t="s">
        <v>27</v>
      </c>
      <c r="I331">
        <v>4.5999999999999996</v>
      </c>
      <c r="J331">
        <v>5594</v>
      </c>
      <c r="K331" t="s">
        <v>20</v>
      </c>
      <c r="L331">
        <v>25732.400000000001</v>
      </c>
      <c r="M331">
        <v>11249.875</v>
      </c>
      <c r="N331" t="s">
        <v>537</v>
      </c>
    </row>
    <row r="332" spans="1:14" x14ac:dyDescent="0.3">
      <c r="A332" t="s">
        <v>14</v>
      </c>
      <c r="B332" t="s">
        <v>538</v>
      </c>
      <c r="C332">
        <v>6</v>
      </c>
      <c r="D332">
        <v>128</v>
      </c>
      <c r="E332">
        <v>5000</v>
      </c>
      <c r="F332">
        <v>11990</v>
      </c>
      <c r="G332">
        <v>17499</v>
      </c>
      <c r="H332">
        <v>31</v>
      </c>
      <c r="I332">
        <v>4.2</v>
      </c>
      <c r="J332">
        <v>14</v>
      </c>
      <c r="K332" t="s">
        <v>34</v>
      </c>
      <c r="L332">
        <v>58.8</v>
      </c>
      <c r="M332">
        <v>1998.3333333333301</v>
      </c>
      <c r="N332" t="s">
        <v>539</v>
      </c>
    </row>
    <row r="333" spans="1:14" x14ac:dyDescent="0.3">
      <c r="A333" t="s">
        <v>29</v>
      </c>
      <c r="B333" t="s">
        <v>175</v>
      </c>
      <c r="C333">
        <v>12</v>
      </c>
      <c r="D333">
        <v>512</v>
      </c>
      <c r="E333">
        <v>6200</v>
      </c>
      <c r="F333">
        <v>29999</v>
      </c>
      <c r="G333">
        <v>39999</v>
      </c>
      <c r="H333">
        <v>25</v>
      </c>
      <c r="I333">
        <v>4.4000000000000004</v>
      </c>
      <c r="J333">
        <v>17</v>
      </c>
      <c r="K333" t="s">
        <v>16</v>
      </c>
      <c r="L333">
        <v>74.8</v>
      </c>
      <c r="M333">
        <v>2499.9166666666601</v>
      </c>
      <c r="N333" t="s">
        <v>540</v>
      </c>
    </row>
    <row r="334" spans="1:14" x14ac:dyDescent="0.3">
      <c r="A334" t="s">
        <v>14</v>
      </c>
      <c r="B334" t="s">
        <v>541</v>
      </c>
      <c r="C334">
        <v>8</v>
      </c>
      <c r="D334">
        <v>128</v>
      </c>
      <c r="E334">
        <v>5000</v>
      </c>
      <c r="F334">
        <v>21499</v>
      </c>
      <c r="G334" t="s">
        <v>26</v>
      </c>
      <c r="H334" t="s">
        <v>27</v>
      </c>
      <c r="I334">
        <v>4.3</v>
      </c>
      <c r="J334">
        <v>248</v>
      </c>
      <c r="K334" t="s">
        <v>16</v>
      </c>
      <c r="L334">
        <v>1066.4000000000001</v>
      </c>
      <c r="M334">
        <v>2687.375</v>
      </c>
      <c r="N334" t="s">
        <v>542</v>
      </c>
    </row>
    <row r="335" spans="1:14" x14ac:dyDescent="0.3">
      <c r="A335" t="s">
        <v>38</v>
      </c>
      <c r="B335" t="s">
        <v>137</v>
      </c>
      <c r="C335">
        <v>6</v>
      </c>
      <c r="D335">
        <v>128</v>
      </c>
      <c r="E335">
        <v>5000</v>
      </c>
      <c r="F335">
        <v>8199</v>
      </c>
      <c r="G335">
        <v>10999</v>
      </c>
      <c r="H335">
        <v>25</v>
      </c>
      <c r="I335">
        <v>4.3</v>
      </c>
      <c r="J335">
        <v>795</v>
      </c>
      <c r="K335" t="s">
        <v>34</v>
      </c>
      <c r="L335">
        <v>3418.5</v>
      </c>
      <c r="M335">
        <v>1366.5</v>
      </c>
      <c r="N335" t="s">
        <v>543</v>
      </c>
    </row>
    <row r="336" spans="1:14" x14ac:dyDescent="0.3">
      <c r="A336" t="s">
        <v>38</v>
      </c>
      <c r="B336" t="s">
        <v>367</v>
      </c>
      <c r="C336">
        <v>12</v>
      </c>
      <c r="D336">
        <v>256</v>
      </c>
      <c r="E336">
        <v>5200</v>
      </c>
      <c r="F336">
        <v>19999</v>
      </c>
      <c r="G336">
        <v>27999</v>
      </c>
      <c r="H336">
        <v>28</v>
      </c>
      <c r="I336">
        <v>4.4000000000000004</v>
      </c>
      <c r="J336">
        <v>1655</v>
      </c>
      <c r="K336" t="s">
        <v>16</v>
      </c>
      <c r="L336">
        <v>7282</v>
      </c>
      <c r="M336">
        <v>1666.5833333333301</v>
      </c>
      <c r="N336" t="s">
        <v>544</v>
      </c>
    </row>
    <row r="337" spans="1:14" x14ac:dyDescent="0.3">
      <c r="A337" t="s">
        <v>18</v>
      </c>
      <c r="B337" t="s">
        <v>195</v>
      </c>
      <c r="C337">
        <v>16</v>
      </c>
      <c r="D337">
        <v>512</v>
      </c>
      <c r="E337">
        <v>6040</v>
      </c>
      <c r="F337">
        <v>85999</v>
      </c>
      <c r="G337">
        <v>93999</v>
      </c>
      <c r="H337">
        <v>8</v>
      </c>
      <c r="I337">
        <v>4.4000000000000004</v>
      </c>
      <c r="J337">
        <v>5</v>
      </c>
      <c r="K337" t="s">
        <v>20</v>
      </c>
      <c r="L337">
        <v>22</v>
      </c>
      <c r="M337">
        <v>5374.9375</v>
      </c>
      <c r="N337" t="s">
        <v>545</v>
      </c>
    </row>
    <row r="338" spans="1:14" x14ac:dyDescent="0.3">
      <c r="A338" t="s">
        <v>14</v>
      </c>
      <c r="B338" t="s">
        <v>285</v>
      </c>
      <c r="C338">
        <v>12</v>
      </c>
      <c r="D338">
        <v>512</v>
      </c>
      <c r="E338">
        <v>4400</v>
      </c>
      <c r="F338">
        <v>164999</v>
      </c>
      <c r="G338">
        <v>169999</v>
      </c>
      <c r="H338">
        <v>2</v>
      </c>
      <c r="I338">
        <v>4.5</v>
      </c>
      <c r="J338">
        <v>37</v>
      </c>
      <c r="K338" t="s">
        <v>20</v>
      </c>
      <c r="L338">
        <v>166.5</v>
      </c>
      <c r="M338">
        <v>13749.916666666601</v>
      </c>
      <c r="N338" t="s">
        <v>546</v>
      </c>
    </row>
    <row r="339" spans="1:14" x14ac:dyDescent="0.3">
      <c r="A339" t="s">
        <v>14</v>
      </c>
      <c r="B339" t="s">
        <v>547</v>
      </c>
      <c r="C339">
        <v>12</v>
      </c>
      <c r="D339">
        <v>256</v>
      </c>
      <c r="E339">
        <v>5000</v>
      </c>
      <c r="F339">
        <v>149999</v>
      </c>
      <c r="G339" t="s">
        <v>26</v>
      </c>
      <c r="H339" t="s">
        <v>27</v>
      </c>
      <c r="I339">
        <v>4.5999999999999996</v>
      </c>
      <c r="J339">
        <v>404</v>
      </c>
      <c r="K339" t="s">
        <v>20</v>
      </c>
      <c r="L339">
        <v>1858.4</v>
      </c>
      <c r="M339">
        <v>12499.916666666601</v>
      </c>
      <c r="N339" t="s">
        <v>548</v>
      </c>
    </row>
    <row r="340" spans="1:14" x14ac:dyDescent="0.3">
      <c r="A340" t="s">
        <v>44</v>
      </c>
      <c r="B340" t="s">
        <v>549</v>
      </c>
      <c r="C340">
        <v>8</v>
      </c>
      <c r="D340">
        <v>128</v>
      </c>
      <c r="E340">
        <v>5000</v>
      </c>
      <c r="F340">
        <v>26999</v>
      </c>
      <c r="G340" t="s">
        <v>26</v>
      </c>
      <c r="H340" t="s">
        <v>27</v>
      </c>
      <c r="I340">
        <v>4.3</v>
      </c>
      <c r="J340">
        <v>101</v>
      </c>
      <c r="K340" t="s">
        <v>16</v>
      </c>
      <c r="L340">
        <v>434.3</v>
      </c>
      <c r="M340">
        <v>3374.875</v>
      </c>
      <c r="N340" t="s">
        <v>550</v>
      </c>
    </row>
    <row r="341" spans="1:14" x14ac:dyDescent="0.3">
      <c r="A341" t="s">
        <v>14</v>
      </c>
      <c r="B341" t="s">
        <v>551</v>
      </c>
      <c r="C341">
        <v>8</v>
      </c>
      <c r="D341">
        <v>128</v>
      </c>
      <c r="E341">
        <v>4500</v>
      </c>
      <c r="F341">
        <v>83000</v>
      </c>
      <c r="G341" t="s">
        <v>26</v>
      </c>
      <c r="H341" t="s">
        <v>27</v>
      </c>
      <c r="I341">
        <v>4.4000000000000004</v>
      </c>
      <c r="J341">
        <v>2863</v>
      </c>
      <c r="K341" t="s">
        <v>20</v>
      </c>
      <c r="L341">
        <v>12597.2</v>
      </c>
      <c r="M341">
        <v>10375</v>
      </c>
      <c r="N341" t="s">
        <v>552</v>
      </c>
    </row>
    <row r="342" spans="1:14" x14ac:dyDescent="0.3">
      <c r="A342" t="s">
        <v>29</v>
      </c>
      <c r="B342" t="s">
        <v>293</v>
      </c>
      <c r="C342">
        <v>4</v>
      </c>
      <c r="D342">
        <v>64</v>
      </c>
      <c r="E342">
        <v>5000</v>
      </c>
      <c r="F342">
        <v>6689</v>
      </c>
      <c r="G342">
        <v>10499</v>
      </c>
      <c r="H342">
        <v>36</v>
      </c>
      <c r="I342">
        <v>4.0999999999999996</v>
      </c>
      <c r="J342">
        <v>445</v>
      </c>
      <c r="K342" t="s">
        <v>34</v>
      </c>
      <c r="L342">
        <v>1824.5</v>
      </c>
      <c r="M342">
        <v>1672.25</v>
      </c>
      <c r="N342" t="s">
        <v>359</v>
      </c>
    </row>
    <row r="343" spans="1:14" x14ac:dyDescent="0.3">
      <c r="A343" t="s">
        <v>29</v>
      </c>
      <c r="B343" t="s">
        <v>95</v>
      </c>
      <c r="C343">
        <v>8</v>
      </c>
      <c r="D343">
        <v>128</v>
      </c>
      <c r="E343">
        <v>6580</v>
      </c>
      <c r="F343">
        <v>27898</v>
      </c>
      <c r="G343">
        <v>33999</v>
      </c>
      <c r="H343">
        <v>17</v>
      </c>
      <c r="I343">
        <v>4.3</v>
      </c>
      <c r="J343">
        <v>4</v>
      </c>
      <c r="K343" t="s">
        <v>16</v>
      </c>
      <c r="L343">
        <v>17.2</v>
      </c>
      <c r="M343">
        <v>3487.25</v>
      </c>
      <c r="N343" t="s">
        <v>553</v>
      </c>
    </row>
    <row r="344" spans="1:14" x14ac:dyDescent="0.3">
      <c r="A344" t="s">
        <v>14</v>
      </c>
      <c r="B344" t="s">
        <v>225</v>
      </c>
      <c r="C344">
        <v>12</v>
      </c>
      <c r="D344">
        <v>256</v>
      </c>
      <c r="E344">
        <v>5000</v>
      </c>
      <c r="F344">
        <v>36490</v>
      </c>
      <c r="G344">
        <v>48999</v>
      </c>
      <c r="H344">
        <v>25</v>
      </c>
      <c r="I344">
        <v>4.3</v>
      </c>
      <c r="J344">
        <v>52</v>
      </c>
      <c r="K344" t="s">
        <v>16</v>
      </c>
      <c r="L344">
        <v>223.6</v>
      </c>
      <c r="M344">
        <v>3040.8333333333298</v>
      </c>
      <c r="N344" t="s">
        <v>226</v>
      </c>
    </row>
    <row r="345" spans="1:14" x14ac:dyDescent="0.3">
      <c r="A345" t="s">
        <v>29</v>
      </c>
      <c r="B345" t="s">
        <v>322</v>
      </c>
      <c r="C345">
        <v>6</v>
      </c>
      <c r="D345">
        <v>128</v>
      </c>
      <c r="E345">
        <v>5000</v>
      </c>
      <c r="F345">
        <v>16499</v>
      </c>
      <c r="G345">
        <v>21999</v>
      </c>
      <c r="H345">
        <v>25</v>
      </c>
      <c r="I345">
        <v>4.2</v>
      </c>
      <c r="J345">
        <v>1078</v>
      </c>
      <c r="K345" t="s">
        <v>16</v>
      </c>
      <c r="L345">
        <v>4527.6000000000004</v>
      </c>
      <c r="M345">
        <v>2749.8333333333298</v>
      </c>
      <c r="N345" t="s">
        <v>474</v>
      </c>
    </row>
    <row r="346" spans="1:14" x14ac:dyDescent="0.3">
      <c r="A346" t="s">
        <v>38</v>
      </c>
      <c r="B346" t="s">
        <v>50</v>
      </c>
      <c r="C346">
        <v>12</v>
      </c>
      <c r="D346">
        <v>256</v>
      </c>
      <c r="E346">
        <v>6000</v>
      </c>
      <c r="F346">
        <v>27999</v>
      </c>
      <c r="G346" t="s">
        <v>26</v>
      </c>
      <c r="H346" t="s">
        <v>27</v>
      </c>
      <c r="I346">
        <v>4.5</v>
      </c>
      <c r="J346">
        <v>17</v>
      </c>
      <c r="K346" t="s">
        <v>16</v>
      </c>
      <c r="L346">
        <v>76.5</v>
      </c>
      <c r="M346">
        <v>2333.25</v>
      </c>
      <c r="N346" t="s">
        <v>554</v>
      </c>
    </row>
    <row r="347" spans="1:14" x14ac:dyDescent="0.3">
      <c r="A347" t="s">
        <v>18</v>
      </c>
      <c r="B347" t="s">
        <v>555</v>
      </c>
      <c r="C347">
        <v>16</v>
      </c>
      <c r="D347">
        <v>512</v>
      </c>
      <c r="E347">
        <v>6510</v>
      </c>
      <c r="F347">
        <v>109999</v>
      </c>
      <c r="G347">
        <v>119999</v>
      </c>
      <c r="H347">
        <v>8</v>
      </c>
      <c r="I347">
        <v>4.7</v>
      </c>
      <c r="J347">
        <v>50</v>
      </c>
      <c r="K347" t="s">
        <v>20</v>
      </c>
      <c r="L347">
        <v>235</v>
      </c>
      <c r="M347">
        <v>6874.9375</v>
      </c>
      <c r="N347" t="s">
        <v>556</v>
      </c>
    </row>
    <row r="348" spans="1:14" x14ac:dyDescent="0.3">
      <c r="A348" t="s">
        <v>44</v>
      </c>
      <c r="B348" t="s">
        <v>557</v>
      </c>
      <c r="C348">
        <v>8</v>
      </c>
      <c r="D348">
        <v>128</v>
      </c>
      <c r="E348">
        <v>4500</v>
      </c>
      <c r="F348">
        <v>27999</v>
      </c>
      <c r="G348" t="s">
        <v>26</v>
      </c>
      <c r="H348" t="s">
        <v>27</v>
      </c>
      <c r="I348">
        <v>4.3</v>
      </c>
      <c r="J348">
        <v>102</v>
      </c>
      <c r="K348" t="s">
        <v>16</v>
      </c>
      <c r="L348">
        <v>438.6</v>
      </c>
      <c r="M348">
        <v>3499.875</v>
      </c>
      <c r="N348" t="s">
        <v>558</v>
      </c>
    </row>
    <row r="349" spans="1:14" x14ac:dyDescent="0.3">
      <c r="A349" t="s">
        <v>18</v>
      </c>
      <c r="B349" t="s">
        <v>559</v>
      </c>
      <c r="C349">
        <v>8</v>
      </c>
      <c r="D349">
        <v>128</v>
      </c>
      <c r="E349">
        <v>5000</v>
      </c>
      <c r="F349">
        <v>22990</v>
      </c>
      <c r="G349">
        <v>29999</v>
      </c>
      <c r="H349">
        <v>23</v>
      </c>
      <c r="I349">
        <v>4.4000000000000004</v>
      </c>
      <c r="J349">
        <v>29</v>
      </c>
      <c r="K349" t="s">
        <v>16</v>
      </c>
      <c r="L349">
        <v>127.6</v>
      </c>
      <c r="M349">
        <v>2873.75</v>
      </c>
      <c r="N349" t="s">
        <v>560</v>
      </c>
    </row>
    <row r="350" spans="1:14" x14ac:dyDescent="0.3">
      <c r="A350" t="s">
        <v>29</v>
      </c>
      <c r="B350" t="s">
        <v>561</v>
      </c>
      <c r="C350">
        <v>8</v>
      </c>
      <c r="D350">
        <v>256</v>
      </c>
      <c r="E350">
        <v>5080</v>
      </c>
      <c r="F350">
        <v>25999</v>
      </c>
      <c r="G350">
        <v>35999</v>
      </c>
      <c r="H350">
        <v>27</v>
      </c>
      <c r="I350">
        <v>4.2</v>
      </c>
      <c r="J350">
        <v>375</v>
      </c>
      <c r="K350" t="s">
        <v>16</v>
      </c>
      <c r="L350">
        <v>1575</v>
      </c>
      <c r="M350">
        <v>3249.875</v>
      </c>
      <c r="N350" t="s">
        <v>562</v>
      </c>
    </row>
    <row r="351" spans="1:14" x14ac:dyDescent="0.3">
      <c r="A351" t="s">
        <v>18</v>
      </c>
      <c r="B351" t="s">
        <v>169</v>
      </c>
      <c r="C351">
        <v>8</v>
      </c>
      <c r="D351">
        <v>256</v>
      </c>
      <c r="E351">
        <v>6500</v>
      </c>
      <c r="F351">
        <v>33999</v>
      </c>
      <c r="G351">
        <v>36999</v>
      </c>
      <c r="H351">
        <v>8</v>
      </c>
      <c r="I351">
        <v>4.4000000000000004</v>
      </c>
      <c r="J351">
        <v>186</v>
      </c>
      <c r="K351" t="s">
        <v>16</v>
      </c>
      <c r="L351">
        <v>818.4</v>
      </c>
      <c r="M351">
        <v>4249.875</v>
      </c>
      <c r="N351" t="s">
        <v>563</v>
      </c>
    </row>
    <row r="352" spans="1:14" x14ac:dyDescent="0.3">
      <c r="A352" t="s">
        <v>22</v>
      </c>
      <c r="B352" t="s">
        <v>564</v>
      </c>
      <c r="C352" t="s">
        <v>24</v>
      </c>
      <c r="D352">
        <v>256</v>
      </c>
      <c r="E352" t="s">
        <v>25</v>
      </c>
      <c r="F352">
        <v>79900</v>
      </c>
      <c r="G352" t="s">
        <v>26</v>
      </c>
      <c r="H352" t="s">
        <v>27</v>
      </c>
      <c r="I352">
        <v>4.5999999999999996</v>
      </c>
      <c r="J352">
        <v>4756</v>
      </c>
      <c r="K352" t="s">
        <v>20</v>
      </c>
      <c r="L352">
        <v>21877.599999999999</v>
      </c>
      <c r="M352">
        <v>0</v>
      </c>
      <c r="N352" t="s">
        <v>565</v>
      </c>
    </row>
    <row r="353" spans="1:14" x14ac:dyDescent="0.3">
      <c r="A353" t="s">
        <v>14</v>
      </c>
      <c r="B353" t="s">
        <v>566</v>
      </c>
      <c r="C353">
        <v>12</v>
      </c>
      <c r="D353">
        <v>256</v>
      </c>
      <c r="E353">
        <v>5000</v>
      </c>
      <c r="F353">
        <v>108845</v>
      </c>
      <c r="G353">
        <v>129999</v>
      </c>
      <c r="H353">
        <v>16</v>
      </c>
      <c r="I353">
        <v>4.7</v>
      </c>
      <c r="J353">
        <v>25</v>
      </c>
      <c r="K353" t="s">
        <v>20</v>
      </c>
      <c r="L353">
        <v>117.5</v>
      </c>
      <c r="M353">
        <v>9070.4166666666606</v>
      </c>
      <c r="N353" t="s">
        <v>567</v>
      </c>
    </row>
    <row r="354" spans="1:14" x14ac:dyDescent="0.3">
      <c r="A354" t="s">
        <v>44</v>
      </c>
      <c r="B354" t="s">
        <v>568</v>
      </c>
      <c r="C354">
        <v>6</v>
      </c>
      <c r="D354">
        <v>128</v>
      </c>
      <c r="E354">
        <v>6000</v>
      </c>
      <c r="F354">
        <v>16499</v>
      </c>
      <c r="G354">
        <v>19499</v>
      </c>
      <c r="H354">
        <v>15</v>
      </c>
      <c r="I354">
        <v>4.3</v>
      </c>
      <c r="J354">
        <v>13</v>
      </c>
      <c r="K354" t="s">
        <v>16</v>
      </c>
      <c r="L354">
        <v>55.9</v>
      </c>
      <c r="M354">
        <v>2749.8333333333298</v>
      </c>
      <c r="N354" t="s">
        <v>569</v>
      </c>
    </row>
    <row r="355" spans="1:14" x14ac:dyDescent="0.3">
      <c r="A355" t="s">
        <v>38</v>
      </c>
      <c r="B355" t="s">
        <v>137</v>
      </c>
      <c r="C355">
        <v>4</v>
      </c>
      <c r="D355">
        <v>64</v>
      </c>
      <c r="E355">
        <v>5000</v>
      </c>
      <c r="F355">
        <v>7249</v>
      </c>
      <c r="G355">
        <v>8999</v>
      </c>
      <c r="H355">
        <v>19</v>
      </c>
      <c r="I355">
        <v>4.3</v>
      </c>
      <c r="J355">
        <v>1493</v>
      </c>
      <c r="K355" t="s">
        <v>34</v>
      </c>
      <c r="L355">
        <v>6419.9</v>
      </c>
      <c r="M355">
        <v>1812.25</v>
      </c>
      <c r="N355" t="s">
        <v>570</v>
      </c>
    </row>
    <row r="356" spans="1:14" x14ac:dyDescent="0.3">
      <c r="A356" t="s">
        <v>38</v>
      </c>
      <c r="B356" t="s">
        <v>165</v>
      </c>
      <c r="C356">
        <v>12</v>
      </c>
      <c r="D356">
        <v>256</v>
      </c>
      <c r="E356">
        <v>7000</v>
      </c>
      <c r="F356">
        <v>36999</v>
      </c>
      <c r="G356">
        <v>48999</v>
      </c>
      <c r="H356">
        <v>24</v>
      </c>
      <c r="I356">
        <v>4.4000000000000004</v>
      </c>
      <c r="J356">
        <v>46</v>
      </c>
      <c r="K356" t="s">
        <v>16</v>
      </c>
      <c r="L356">
        <v>202.4</v>
      </c>
      <c r="M356">
        <v>3083.25</v>
      </c>
      <c r="N356" t="s">
        <v>571</v>
      </c>
    </row>
    <row r="357" spans="1:14" x14ac:dyDescent="0.3">
      <c r="A357" t="s">
        <v>22</v>
      </c>
      <c r="B357" t="s">
        <v>23</v>
      </c>
      <c r="C357" t="s">
        <v>24</v>
      </c>
      <c r="D357">
        <v>256</v>
      </c>
      <c r="E357" t="s">
        <v>25</v>
      </c>
      <c r="F357">
        <v>74900</v>
      </c>
      <c r="G357" t="s">
        <v>26</v>
      </c>
      <c r="H357" t="s">
        <v>27</v>
      </c>
      <c r="I357">
        <v>4.5</v>
      </c>
      <c r="J357">
        <v>330</v>
      </c>
      <c r="K357" t="s">
        <v>20</v>
      </c>
      <c r="L357">
        <v>1485</v>
      </c>
      <c r="M357">
        <v>0</v>
      </c>
      <c r="N357" t="s">
        <v>572</v>
      </c>
    </row>
    <row r="358" spans="1:14" x14ac:dyDescent="0.3">
      <c r="A358" t="s">
        <v>22</v>
      </c>
      <c r="B358" t="s">
        <v>573</v>
      </c>
      <c r="C358" t="s">
        <v>24</v>
      </c>
      <c r="D358">
        <v>64</v>
      </c>
      <c r="E358" t="s">
        <v>25</v>
      </c>
      <c r="F358">
        <v>49900</v>
      </c>
      <c r="G358" t="s">
        <v>26</v>
      </c>
      <c r="H358" t="s">
        <v>27</v>
      </c>
      <c r="I358">
        <v>4.5999999999999996</v>
      </c>
      <c r="J358">
        <v>11361</v>
      </c>
      <c r="K358" t="s">
        <v>20</v>
      </c>
      <c r="L358">
        <v>52260.6</v>
      </c>
      <c r="M358">
        <v>0</v>
      </c>
      <c r="N358" t="s">
        <v>574</v>
      </c>
    </row>
    <row r="359" spans="1:14" x14ac:dyDescent="0.3">
      <c r="A359" t="s">
        <v>44</v>
      </c>
      <c r="B359" t="s">
        <v>429</v>
      </c>
      <c r="C359">
        <v>12</v>
      </c>
      <c r="D359">
        <v>256</v>
      </c>
      <c r="E359">
        <v>7000</v>
      </c>
      <c r="F359">
        <v>36999</v>
      </c>
      <c r="G359">
        <v>44999</v>
      </c>
      <c r="H359">
        <v>17</v>
      </c>
      <c r="I359">
        <v>4.5</v>
      </c>
      <c r="J359">
        <v>38</v>
      </c>
      <c r="K359" t="s">
        <v>16</v>
      </c>
      <c r="L359">
        <v>171</v>
      </c>
      <c r="M359">
        <v>3083.25</v>
      </c>
      <c r="N359" t="s">
        <v>575</v>
      </c>
    </row>
    <row r="360" spans="1:14" x14ac:dyDescent="0.3">
      <c r="A360" t="s">
        <v>14</v>
      </c>
      <c r="B360" t="s">
        <v>373</v>
      </c>
      <c r="C360">
        <v>12</v>
      </c>
      <c r="D360">
        <v>256</v>
      </c>
      <c r="E360">
        <v>4300</v>
      </c>
      <c r="F360">
        <v>109999</v>
      </c>
      <c r="G360" t="s">
        <v>26</v>
      </c>
      <c r="H360" t="s">
        <v>27</v>
      </c>
      <c r="I360">
        <v>4.5</v>
      </c>
      <c r="J360">
        <v>6</v>
      </c>
      <c r="K360" t="s">
        <v>20</v>
      </c>
      <c r="L360">
        <v>27</v>
      </c>
      <c r="M360">
        <v>9166.5833333333303</v>
      </c>
      <c r="N360" t="s">
        <v>576</v>
      </c>
    </row>
    <row r="361" spans="1:14" x14ac:dyDescent="0.3">
      <c r="A361" t="s">
        <v>44</v>
      </c>
      <c r="B361" t="s">
        <v>577</v>
      </c>
      <c r="C361">
        <v>4</v>
      </c>
      <c r="D361">
        <v>64</v>
      </c>
      <c r="E361">
        <v>6500</v>
      </c>
      <c r="F361">
        <v>12999</v>
      </c>
      <c r="G361">
        <v>19999</v>
      </c>
      <c r="H361">
        <v>35</v>
      </c>
      <c r="I361">
        <v>4.5999999999999996</v>
      </c>
      <c r="J361">
        <v>442</v>
      </c>
      <c r="K361" t="s">
        <v>34</v>
      </c>
      <c r="L361">
        <v>2033.2</v>
      </c>
      <c r="M361">
        <v>3249.75</v>
      </c>
      <c r="N361" t="s">
        <v>578</v>
      </c>
    </row>
    <row r="362" spans="1:14" x14ac:dyDescent="0.3">
      <c r="A362" t="s">
        <v>29</v>
      </c>
      <c r="B362" t="s">
        <v>579</v>
      </c>
      <c r="C362">
        <v>3</v>
      </c>
      <c r="D362">
        <v>32</v>
      </c>
      <c r="E362">
        <v>5000</v>
      </c>
      <c r="F362">
        <v>10999</v>
      </c>
      <c r="G362" t="s">
        <v>26</v>
      </c>
      <c r="H362" t="s">
        <v>27</v>
      </c>
      <c r="I362">
        <v>4.0999999999999996</v>
      </c>
      <c r="J362">
        <v>680</v>
      </c>
      <c r="K362" t="s">
        <v>34</v>
      </c>
      <c r="L362">
        <v>2787.99999999999</v>
      </c>
      <c r="M362">
        <v>3666.3333333333298</v>
      </c>
      <c r="N362" t="s">
        <v>580</v>
      </c>
    </row>
    <row r="363" spans="1:14" x14ac:dyDescent="0.3">
      <c r="A363" t="s">
        <v>29</v>
      </c>
      <c r="B363" t="s">
        <v>579</v>
      </c>
      <c r="C363">
        <v>2</v>
      </c>
      <c r="D363">
        <v>32</v>
      </c>
      <c r="E363">
        <v>5000</v>
      </c>
      <c r="F363">
        <v>9999</v>
      </c>
      <c r="G363" t="s">
        <v>26</v>
      </c>
      <c r="H363" t="s">
        <v>27</v>
      </c>
      <c r="I363">
        <v>4.2</v>
      </c>
      <c r="J363">
        <v>570</v>
      </c>
      <c r="K363" t="s">
        <v>34</v>
      </c>
      <c r="L363">
        <v>2394</v>
      </c>
      <c r="M363">
        <v>4999.5</v>
      </c>
      <c r="N363" t="s">
        <v>581</v>
      </c>
    </row>
    <row r="364" spans="1:14" x14ac:dyDescent="0.3">
      <c r="A364" t="s">
        <v>14</v>
      </c>
      <c r="B364" t="s">
        <v>406</v>
      </c>
      <c r="C364">
        <v>4</v>
      </c>
      <c r="D364">
        <v>128</v>
      </c>
      <c r="E364">
        <v>6000</v>
      </c>
      <c r="F364">
        <v>17490</v>
      </c>
      <c r="G364" t="s">
        <v>26</v>
      </c>
      <c r="H364" t="s">
        <v>27</v>
      </c>
      <c r="I364">
        <v>4.2</v>
      </c>
      <c r="J364">
        <v>3169</v>
      </c>
      <c r="K364" t="s">
        <v>16</v>
      </c>
      <c r="L364">
        <v>13309.8</v>
      </c>
      <c r="M364">
        <v>4372.5</v>
      </c>
      <c r="N364" t="s">
        <v>582</v>
      </c>
    </row>
    <row r="365" spans="1:14" x14ac:dyDescent="0.3">
      <c r="A365" t="s">
        <v>22</v>
      </c>
      <c r="B365" t="s">
        <v>58</v>
      </c>
      <c r="C365" t="s">
        <v>24</v>
      </c>
      <c r="D365">
        <v>128</v>
      </c>
      <c r="E365" t="s">
        <v>25</v>
      </c>
      <c r="F365">
        <v>64900</v>
      </c>
      <c r="G365">
        <v>69900</v>
      </c>
      <c r="H365">
        <v>7</v>
      </c>
      <c r="I365">
        <v>4.5999999999999996</v>
      </c>
      <c r="J365">
        <v>6925</v>
      </c>
      <c r="K365" t="s">
        <v>20</v>
      </c>
      <c r="L365">
        <v>31855</v>
      </c>
      <c r="M365">
        <v>0</v>
      </c>
      <c r="N365" t="s">
        <v>583</v>
      </c>
    </row>
    <row r="366" spans="1:14" x14ac:dyDescent="0.3">
      <c r="A366" t="s">
        <v>44</v>
      </c>
      <c r="B366" t="s">
        <v>584</v>
      </c>
      <c r="C366">
        <v>8</v>
      </c>
      <c r="D366">
        <v>256</v>
      </c>
      <c r="E366">
        <v>7000</v>
      </c>
      <c r="F366">
        <v>19999</v>
      </c>
      <c r="G366">
        <v>24999</v>
      </c>
      <c r="H366">
        <v>20</v>
      </c>
      <c r="I366">
        <v>4.5</v>
      </c>
      <c r="J366">
        <v>4948</v>
      </c>
      <c r="K366" t="s">
        <v>16</v>
      </c>
      <c r="L366">
        <v>22266</v>
      </c>
      <c r="M366">
        <v>2499.875</v>
      </c>
      <c r="N366" t="s">
        <v>585</v>
      </c>
    </row>
    <row r="367" spans="1:14" x14ac:dyDescent="0.3">
      <c r="A367" t="s">
        <v>44</v>
      </c>
      <c r="B367" t="s">
        <v>584</v>
      </c>
      <c r="C367">
        <v>8</v>
      </c>
      <c r="D367">
        <v>128</v>
      </c>
      <c r="E367">
        <v>7000</v>
      </c>
      <c r="F367">
        <v>17999</v>
      </c>
      <c r="G367">
        <v>22999</v>
      </c>
      <c r="H367">
        <v>21</v>
      </c>
      <c r="I367">
        <v>4.5</v>
      </c>
      <c r="J367">
        <v>4948</v>
      </c>
      <c r="K367" t="s">
        <v>16</v>
      </c>
      <c r="L367">
        <v>22266</v>
      </c>
      <c r="M367">
        <v>2249.875</v>
      </c>
      <c r="N367" t="s">
        <v>586</v>
      </c>
    </row>
    <row r="368" spans="1:14" x14ac:dyDescent="0.3">
      <c r="A368" t="s">
        <v>14</v>
      </c>
      <c r="B368" t="s">
        <v>587</v>
      </c>
      <c r="C368">
        <v>4</v>
      </c>
      <c r="D368">
        <v>64</v>
      </c>
      <c r="E368">
        <v>5000</v>
      </c>
      <c r="F368">
        <v>9499</v>
      </c>
      <c r="G368">
        <v>12499</v>
      </c>
      <c r="H368">
        <v>24</v>
      </c>
      <c r="I368">
        <v>4.2</v>
      </c>
      <c r="J368">
        <v>2624</v>
      </c>
      <c r="K368" t="s">
        <v>34</v>
      </c>
      <c r="L368">
        <v>11020.8</v>
      </c>
      <c r="M368">
        <v>2374.75</v>
      </c>
      <c r="N368" t="s">
        <v>588</v>
      </c>
    </row>
    <row r="369" spans="1:14" x14ac:dyDescent="0.3">
      <c r="A369" t="s">
        <v>14</v>
      </c>
      <c r="B369" t="s">
        <v>589</v>
      </c>
      <c r="C369">
        <v>1</v>
      </c>
      <c r="D369">
        <v>8</v>
      </c>
      <c r="E369">
        <v>2000</v>
      </c>
      <c r="F369">
        <v>7999</v>
      </c>
      <c r="G369">
        <v>8999</v>
      </c>
      <c r="H369">
        <v>11</v>
      </c>
      <c r="I369">
        <v>4.0999999999999996</v>
      </c>
      <c r="J369">
        <v>583</v>
      </c>
      <c r="K369" t="s">
        <v>34</v>
      </c>
      <c r="L369">
        <v>2390.3000000000002</v>
      </c>
      <c r="M369">
        <v>7999</v>
      </c>
      <c r="N369" t="s">
        <v>590</v>
      </c>
    </row>
    <row r="370" spans="1:14" x14ac:dyDescent="0.3">
      <c r="A370" t="s">
        <v>14</v>
      </c>
      <c r="B370" t="s">
        <v>591</v>
      </c>
      <c r="C370">
        <v>4</v>
      </c>
      <c r="D370">
        <v>64</v>
      </c>
      <c r="E370">
        <v>6000</v>
      </c>
      <c r="F370">
        <v>14499</v>
      </c>
      <c r="G370" t="s">
        <v>26</v>
      </c>
      <c r="H370" t="s">
        <v>27</v>
      </c>
      <c r="I370">
        <v>4.2</v>
      </c>
      <c r="J370">
        <v>155</v>
      </c>
      <c r="K370" t="s">
        <v>34</v>
      </c>
      <c r="L370">
        <v>651</v>
      </c>
      <c r="M370">
        <v>3624.75</v>
      </c>
      <c r="N370" t="s">
        <v>592</v>
      </c>
    </row>
    <row r="371" spans="1:14" x14ac:dyDescent="0.3">
      <c r="A371" t="s">
        <v>14</v>
      </c>
      <c r="B371" t="s">
        <v>99</v>
      </c>
      <c r="C371">
        <v>6</v>
      </c>
      <c r="D371">
        <v>128</v>
      </c>
      <c r="E371">
        <v>5000</v>
      </c>
      <c r="F371">
        <v>13999</v>
      </c>
      <c r="G371">
        <v>14999</v>
      </c>
      <c r="H371">
        <v>6</v>
      </c>
      <c r="I371">
        <v>4.2</v>
      </c>
      <c r="J371">
        <v>6</v>
      </c>
      <c r="K371" t="s">
        <v>34</v>
      </c>
      <c r="L371">
        <v>25.2</v>
      </c>
      <c r="M371">
        <v>2333.1666666666601</v>
      </c>
      <c r="N371" t="s">
        <v>593</v>
      </c>
    </row>
    <row r="372" spans="1:14" x14ac:dyDescent="0.3">
      <c r="A372" t="s">
        <v>38</v>
      </c>
      <c r="B372" t="s">
        <v>594</v>
      </c>
      <c r="C372">
        <v>8</v>
      </c>
      <c r="D372">
        <v>128</v>
      </c>
      <c r="E372">
        <v>6000</v>
      </c>
      <c r="F372">
        <v>13999</v>
      </c>
      <c r="G372">
        <v>17999</v>
      </c>
      <c r="H372">
        <v>22</v>
      </c>
      <c r="I372">
        <v>4.4000000000000004</v>
      </c>
      <c r="J372">
        <v>1038</v>
      </c>
      <c r="K372" t="s">
        <v>34</v>
      </c>
      <c r="L372">
        <v>4567.2</v>
      </c>
      <c r="M372">
        <v>1749.875</v>
      </c>
      <c r="N372" t="s">
        <v>595</v>
      </c>
    </row>
    <row r="373" spans="1:14" x14ac:dyDescent="0.3">
      <c r="A373" t="s">
        <v>38</v>
      </c>
      <c r="B373" t="s">
        <v>594</v>
      </c>
      <c r="C373">
        <v>6</v>
      </c>
      <c r="D373">
        <v>128</v>
      </c>
      <c r="E373">
        <v>6000</v>
      </c>
      <c r="F373">
        <v>12999</v>
      </c>
      <c r="G373">
        <v>16999</v>
      </c>
      <c r="H373">
        <v>23</v>
      </c>
      <c r="I373">
        <v>4.4000000000000004</v>
      </c>
      <c r="J373">
        <v>2924</v>
      </c>
      <c r="K373" t="s">
        <v>34</v>
      </c>
      <c r="L373">
        <v>12865.6</v>
      </c>
      <c r="M373">
        <v>2166.5</v>
      </c>
      <c r="N373" t="s">
        <v>596</v>
      </c>
    </row>
    <row r="374" spans="1:14" x14ac:dyDescent="0.3">
      <c r="A374" t="s">
        <v>38</v>
      </c>
      <c r="B374" t="s">
        <v>239</v>
      </c>
      <c r="C374">
        <v>12</v>
      </c>
      <c r="D374">
        <v>256</v>
      </c>
      <c r="E374">
        <v>10001</v>
      </c>
      <c r="F374">
        <v>31999</v>
      </c>
      <c r="G374">
        <v>37999</v>
      </c>
      <c r="H374">
        <v>15</v>
      </c>
      <c r="I374">
        <v>4.5</v>
      </c>
      <c r="J374">
        <v>88</v>
      </c>
      <c r="K374" t="s">
        <v>16</v>
      </c>
      <c r="L374">
        <v>396</v>
      </c>
      <c r="M374">
        <v>2666.5833333333298</v>
      </c>
      <c r="N374" t="s">
        <v>597</v>
      </c>
    </row>
    <row r="375" spans="1:14" x14ac:dyDescent="0.3">
      <c r="A375" t="s">
        <v>18</v>
      </c>
      <c r="B375" t="s">
        <v>598</v>
      </c>
      <c r="C375">
        <v>4</v>
      </c>
      <c r="D375">
        <v>64</v>
      </c>
      <c r="E375">
        <v>6000</v>
      </c>
      <c r="F375">
        <v>12999</v>
      </c>
      <c r="G375" t="s">
        <v>26</v>
      </c>
      <c r="H375" t="s">
        <v>27</v>
      </c>
      <c r="I375">
        <v>4.4000000000000004</v>
      </c>
      <c r="J375">
        <v>1388</v>
      </c>
      <c r="K375" t="s">
        <v>34</v>
      </c>
      <c r="L375">
        <v>6107.2</v>
      </c>
      <c r="M375">
        <v>3249.75</v>
      </c>
      <c r="N375" t="s">
        <v>599</v>
      </c>
    </row>
    <row r="376" spans="1:14" x14ac:dyDescent="0.3">
      <c r="A376" t="s">
        <v>18</v>
      </c>
      <c r="B376" t="s">
        <v>248</v>
      </c>
      <c r="C376">
        <v>8</v>
      </c>
      <c r="D376">
        <v>256</v>
      </c>
      <c r="E376">
        <v>6500</v>
      </c>
      <c r="F376">
        <v>29999</v>
      </c>
      <c r="G376">
        <v>34999</v>
      </c>
      <c r="H376">
        <v>14</v>
      </c>
      <c r="I376">
        <v>4.5</v>
      </c>
      <c r="J376">
        <v>1155</v>
      </c>
      <c r="K376" t="s">
        <v>16</v>
      </c>
      <c r="L376">
        <v>5197.5</v>
      </c>
      <c r="M376">
        <v>3749.875</v>
      </c>
      <c r="N376" t="s">
        <v>600</v>
      </c>
    </row>
    <row r="377" spans="1:14" x14ac:dyDescent="0.3">
      <c r="A377" t="s">
        <v>14</v>
      </c>
      <c r="B377" t="s">
        <v>76</v>
      </c>
      <c r="C377">
        <v>6</v>
      </c>
      <c r="D377">
        <v>128</v>
      </c>
      <c r="E377">
        <v>5000</v>
      </c>
      <c r="F377">
        <v>13999</v>
      </c>
      <c r="G377">
        <v>17499</v>
      </c>
      <c r="H377">
        <v>20</v>
      </c>
      <c r="I377">
        <v>4.2</v>
      </c>
      <c r="J377">
        <v>642</v>
      </c>
      <c r="K377" t="s">
        <v>34</v>
      </c>
      <c r="L377">
        <v>2696.4</v>
      </c>
      <c r="M377">
        <v>2333.1666666666601</v>
      </c>
      <c r="N377" t="s">
        <v>116</v>
      </c>
    </row>
    <row r="378" spans="1:14" x14ac:dyDescent="0.3">
      <c r="A378" t="s">
        <v>44</v>
      </c>
      <c r="B378" t="s">
        <v>601</v>
      </c>
      <c r="C378">
        <v>8</v>
      </c>
      <c r="D378">
        <v>128</v>
      </c>
      <c r="E378">
        <v>4500</v>
      </c>
      <c r="F378">
        <v>27999</v>
      </c>
      <c r="G378" t="s">
        <v>26</v>
      </c>
      <c r="H378" t="s">
        <v>27</v>
      </c>
      <c r="I378">
        <v>4.3</v>
      </c>
      <c r="J378">
        <v>442</v>
      </c>
      <c r="K378" t="s">
        <v>16</v>
      </c>
      <c r="L378">
        <v>1900.6</v>
      </c>
      <c r="M378">
        <v>3499.875</v>
      </c>
      <c r="N378" t="s">
        <v>602</v>
      </c>
    </row>
    <row r="379" spans="1:14" x14ac:dyDescent="0.3">
      <c r="A379" t="s">
        <v>29</v>
      </c>
      <c r="B379" t="s">
        <v>396</v>
      </c>
      <c r="C379">
        <v>12</v>
      </c>
      <c r="D379">
        <v>256</v>
      </c>
      <c r="E379">
        <v>5000</v>
      </c>
      <c r="F379">
        <v>23006</v>
      </c>
      <c r="G379">
        <v>33990</v>
      </c>
      <c r="H379">
        <v>32</v>
      </c>
      <c r="I379">
        <v>4.3</v>
      </c>
      <c r="J379">
        <v>1026</v>
      </c>
      <c r="K379" t="s">
        <v>16</v>
      </c>
      <c r="L379">
        <v>4411.8</v>
      </c>
      <c r="M379">
        <v>1917.1666666666599</v>
      </c>
      <c r="N379" t="s">
        <v>603</v>
      </c>
    </row>
    <row r="380" spans="1:14" x14ac:dyDescent="0.3">
      <c r="A380" t="s">
        <v>44</v>
      </c>
      <c r="B380" t="s">
        <v>604</v>
      </c>
      <c r="C380">
        <v>8</v>
      </c>
      <c r="D380">
        <v>128</v>
      </c>
      <c r="E380">
        <v>7000</v>
      </c>
      <c r="F380">
        <v>27999</v>
      </c>
      <c r="G380">
        <v>31999</v>
      </c>
      <c r="H380">
        <v>12</v>
      </c>
      <c r="I380">
        <v>4.4000000000000004</v>
      </c>
      <c r="J380">
        <v>59</v>
      </c>
      <c r="K380" t="s">
        <v>16</v>
      </c>
      <c r="L380">
        <v>259.60000000000002</v>
      </c>
      <c r="M380">
        <v>3499.875</v>
      </c>
      <c r="N380" t="s">
        <v>605</v>
      </c>
    </row>
    <row r="381" spans="1:14" x14ac:dyDescent="0.3">
      <c r="A381" t="s">
        <v>18</v>
      </c>
      <c r="B381" t="s">
        <v>606</v>
      </c>
      <c r="C381">
        <v>6</v>
      </c>
      <c r="D381">
        <v>128</v>
      </c>
      <c r="E381">
        <v>6500</v>
      </c>
      <c r="F381">
        <v>20999</v>
      </c>
      <c r="G381">
        <v>21499</v>
      </c>
      <c r="H381">
        <v>2</v>
      </c>
      <c r="I381">
        <v>4.4000000000000004</v>
      </c>
      <c r="J381">
        <v>24</v>
      </c>
      <c r="K381" t="s">
        <v>16</v>
      </c>
      <c r="L381">
        <v>105.6</v>
      </c>
      <c r="M381">
        <v>3499.8333333333298</v>
      </c>
      <c r="N381" t="s">
        <v>607</v>
      </c>
    </row>
    <row r="382" spans="1:14" x14ac:dyDescent="0.3">
      <c r="A382" t="s">
        <v>18</v>
      </c>
      <c r="B382" t="s">
        <v>606</v>
      </c>
      <c r="C382">
        <v>4</v>
      </c>
      <c r="D382">
        <v>128</v>
      </c>
      <c r="E382">
        <v>6500</v>
      </c>
      <c r="F382">
        <v>18999</v>
      </c>
      <c r="G382">
        <v>19999</v>
      </c>
      <c r="H382">
        <v>5</v>
      </c>
      <c r="I382">
        <v>4.4000000000000004</v>
      </c>
      <c r="J382">
        <v>12</v>
      </c>
      <c r="K382" t="s">
        <v>16</v>
      </c>
      <c r="L382">
        <v>52.8</v>
      </c>
      <c r="M382">
        <v>4749.75</v>
      </c>
      <c r="N382" t="s">
        <v>607</v>
      </c>
    </row>
    <row r="383" spans="1:14" x14ac:dyDescent="0.3">
      <c r="A383" t="s">
        <v>18</v>
      </c>
      <c r="B383" t="s">
        <v>63</v>
      </c>
      <c r="C383">
        <v>12</v>
      </c>
      <c r="D383">
        <v>512</v>
      </c>
      <c r="E383">
        <v>6500</v>
      </c>
      <c r="F383">
        <v>61999</v>
      </c>
      <c r="G383">
        <v>65999</v>
      </c>
      <c r="H383">
        <v>6</v>
      </c>
      <c r="I383">
        <v>4.5</v>
      </c>
      <c r="J383">
        <v>13</v>
      </c>
      <c r="K383" t="s">
        <v>20</v>
      </c>
      <c r="L383">
        <v>58.5</v>
      </c>
      <c r="M383">
        <v>5166.5833333333303</v>
      </c>
      <c r="N383" t="s">
        <v>608</v>
      </c>
    </row>
    <row r="384" spans="1:14" x14ac:dyDescent="0.3">
      <c r="A384" t="s">
        <v>14</v>
      </c>
      <c r="B384" t="s">
        <v>399</v>
      </c>
      <c r="C384">
        <v>8</v>
      </c>
      <c r="D384">
        <v>128</v>
      </c>
      <c r="E384">
        <v>4900</v>
      </c>
      <c r="F384">
        <v>59999</v>
      </c>
      <c r="G384" t="s">
        <v>26</v>
      </c>
      <c r="H384" t="s">
        <v>27</v>
      </c>
      <c r="I384">
        <v>4.5999999999999996</v>
      </c>
      <c r="J384">
        <v>6</v>
      </c>
      <c r="K384" t="s">
        <v>20</v>
      </c>
      <c r="L384">
        <v>27.6</v>
      </c>
      <c r="M384">
        <v>7499.875</v>
      </c>
      <c r="N384" t="s">
        <v>609</v>
      </c>
    </row>
    <row r="385" spans="1:14" x14ac:dyDescent="0.3">
      <c r="A385" t="s">
        <v>14</v>
      </c>
      <c r="B385" t="s">
        <v>84</v>
      </c>
      <c r="C385">
        <v>4</v>
      </c>
      <c r="D385">
        <v>128</v>
      </c>
      <c r="E385">
        <v>6000</v>
      </c>
      <c r="F385">
        <v>14999</v>
      </c>
      <c r="G385">
        <v>18999</v>
      </c>
      <c r="H385">
        <v>21</v>
      </c>
      <c r="I385">
        <v>4.5999999999999996</v>
      </c>
      <c r="J385">
        <v>0</v>
      </c>
      <c r="K385" t="s">
        <v>34</v>
      </c>
      <c r="L385">
        <v>0</v>
      </c>
      <c r="M385">
        <v>3749.75</v>
      </c>
      <c r="N385" t="s">
        <v>610</v>
      </c>
    </row>
    <row r="386" spans="1:14" x14ac:dyDescent="0.3">
      <c r="A386" t="s">
        <v>18</v>
      </c>
      <c r="B386" t="s">
        <v>311</v>
      </c>
      <c r="C386">
        <v>8</v>
      </c>
      <c r="D386">
        <v>256</v>
      </c>
      <c r="E386">
        <v>5500</v>
      </c>
      <c r="F386">
        <v>25989</v>
      </c>
      <c r="G386">
        <v>34999</v>
      </c>
      <c r="H386">
        <v>25</v>
      </c>
      <c r="I386">
        <v>4.4000000000000004</v>
      </c>
      <c r="J386">
        <v>403</v>
      </c>
      <c r="K386" t="s">
        <v>16</v>
      </c>
      <c r="L386">
        <v>1773.2</v>
      </c>
      <c r="M386">
        <v>3248.625</v>
      </c>
      <c r="N386" t="s">
        <v>611</v>
      </c>
    </row>
    <row r="387" spans="1:14" x14ac:dyDescent="0.3">
      <c r="A387" t="s">
        <v>38</v>
      </c>
      <c r="B387" t="s">
        <v>244</v>
      </c>
      <c r="C387">
        <v>8</v>
      </c>
      <c r="D387">
        <v>256</v>
      </c>
      <c r="E387">
        <v>5000</v>
      </c>
      <c r="F387">
        <v>17999</v>
      </c>
      <c r="G387">
        <v>22999</v>
      </c>
      <c r="H387">
        <v>21</v>
      </c>
      <c r="I387">
        <v>4.3</v>
      </c>
      <c r="J387">
        <v>68</v>
      </c>
      <c r="K387" t="s">
        <v>16</v>
      </c>
      <c r="L387">
        <v>292.39999999999998</v>
      </c>
      <c r="M387">
        <v>2249.875</v>
      </c>
      <c r="N387" t="s">
        <v>612</v>
      </c>
    </row>
    <row r="388" spans="1:14" x14ac:dyDescent="0.3">
      <c r="A388" t="s">
        <v>44</v>
      </c>
      <c r="B388" t="s">
        <v>295</v>
      </c>
      <c r="C388">
        <v>8</v>
      </c>
      <c r="D388">
        <v>256</v>
      </c>
      <c r="E388">
        <v>6000</v>
      </c>
      <c r="F388">
        <v>20135</v>
      </c>
      <c r="G388">
        <v>34999</v>
      </c>
      <c r="H388">
        <v>42</v>
      </c>
      <c r="I388">
        <v>4.4000000000000004</v>
      </c>
      <c r="J388">
        <v>150</v>
      </c>
      <c r="K388" t="s">
        <v>16</v>
      </c>
      <c r="L388">
        <v>660</v>
      </c>
      <c r="M388">
        <v>2516.875</v>
      </c>
      <c r="N388" t="s">
        <v>296</v>
      </c>
    </row>
    <row r="389" spans="1:14" x14ac:dyDescent="0.3">
      <c r="A389" t="s">
        <v>22</v>
      </c>
      <c r="B389" t="s">
        <v>573</v>
      </c>
      <c r="C389" t="s">
        <v>24</v>
      </c>
      <c r="D389">
        <v>128</v>
      </c>
      <c r="E389" t="s">
        <v>25</v>
      </c>
      <c r="F389">
        <v>48900</v>
      </c>
      <c r="G389" t="s">
        <v>26</v>
      </c>
      <c r="H389" t="s">
        <v>27</v>
      </c>
      <c r="I389">
        <v>4.5999999999999996</v>
      </c>
      <c r="J389">
        <v>11361</v>
      </c>
      <c r="K389" t="s">
        <v>20</v>
      </c>
      <c r="L389">
        <v>52260.6</v>
      </c>
      <c r="M389">
        <v>0</v>
      </c>
      <c r="N389" t="s">
        <v>613</v>
      </c>
    </row>
    <row r="390" spans="1:14" x14ac:dyDescent="0.3">
      <c r="A390" t="s">
        <v>44</v>
      </c>
      <c r="B390" t="s">
        <v>295</v>
      </c>
      <c r="C390">
        <v>8</v>
      </c>
      <c r="D390">
        <v>128</v>
      </c>
      <c r="E390">
        <v>6000</v>
      </c>
      <c r="F390">
        <v>20480</v>
      </c>
      <c r="G390">
        <v>32999</v>
      </c>
      <c r="H390">
        <v>37</v>
      </c>
      <c r="I390">
        <v>4.4000000000000004</v>
      </c>
      <c r="J390">
        <v>150</v>
      </c>
      <c r="K390" t="s">
        <v>16</v>
      </c>
      <c r="L390">
        <v>660</v>
      </c>
      <c r="M390">
        <v>2560</v>
      </c>
      <c r="N390" t="s">
        <v>614</v>
      </c>
    </row>
    <row r="391" spans="1:14" x14ac:dyDescent="0.3">
      <c r="A391" t="s">
        <v>44</v>
      </c>
      <c r="B391" t="s">
        <v>615</v>
      </c>
      <c r="C391">
        <v>4</v>
      </c>
      <c r="D391">
        <v>128</v>
      </c>
      <c r="E391">
        <v>5100</v>
      </c>
      <c r="F391">
        <v>10999</v>
      </c>
      <c r="G391">
        <v>13999</v>
      </c>
      <c r="H391">
        <v>21</v>
      </c>
      <c r="I391">
        <v>4.0999999999999996</v>
      </c>
      <c r="J391">
        <v>96</v>
      </c>
      <c r="K391" t="s">
        <v>34</v>
      </c>
      <c r="L391">
        <v>393.6</v>
      </c>
      <c r="M391">
        <v>2749.75</v>
      </c>
      <c r="N391" t="s">
        <v>616</v>
      </c>
    </row>
    <row r="392" spans="1:14" x14ac:dyDescent="0.3">
      <c r="A392" t="s">
        <v>38</v>
      </c>
      <c r="B392" t="s">
        <v>345</v>
      </c>
      <c r="C392">
        <v>6</v>
      </c>
      <c r="D392">
        <v>64</v>
      </c>
      <c r="E392">
        <v>4035</v>
      </c>
      <c r="F392">
        <v>15999</v>
      </c>
      <c r="G392" t="s">
        <v>26</v>
      </c>
      <c r="H392" t="s">
        <v>27</v>
      </c>
      <c r="I392">
        <v>4.5</v>
      </c>
      <c r="J392">
        <v>10980</v>
      </c>
      <c r="K392" t="s">
        <v>16</v>
      </c>
      <c r="L392">
        <v>49410</v>
      </c>
      <c r="M392">
        <v>2666.5</v>
      </c>
      <c r="N392" t="s">
        <v>617</v>
      </c>
    </row>
    <row r="393" spans="1:14" x14ac:dyDescent="0.3">
      <c r="A393" t="s">
        <v>18</v>
      </c>
      <c r="B393" t="s">
        <v>78</v>
      </c>
      <c r="C393">
        <v>4</v>
      </c>
      <c r="D393">
        <v>64</v>
      </c>
      <c r="E393">
        <v>5000</v>
      </c>
      <c r="F393">
        <v>14499</v>
      </c>
      <c r="G393">
        <v>17990</v>
      </c>
      <c r="H393">
        <v>19</v>
      </c>
      <c r="I393">
        <v>4.3</v>
      </c>
      <c r="J393">
        <v>147</v>
      </c>
      <c r="K393" t="s">
        <v>34</v>
      </c>
      <c r="L393">
        <v>632.1</v>
      </c>
      <c r="M393">
        <v>3624.75</v>
      </c>
      <c r="N393" t="s">
        <v>618</v>
      </c>
    </row>
    <row r="394" spans="1:14" x14ac:dyDescent="0.3">
      <c r="A394" t="s">
        <v>14</v>
      </c>
      <c r="B394" t="s">
        <v>619</v>
      </c>
      <c r="C394">
        <v>8</v>
      </c>
      <c r="D394">
        <v>128</v>
      </c>
      <c r="E394">
        <v>4500</v>
      </c>
      <c r="F394">
        <v>74999</v>
      </c>
      <c r="G394" t="s">
        <v>26</v>
      </c>
      <c r="H394" t="s">
        <v>27</v>
      </c>
      <c r="I394">
        <v>4.3</v>
      </c>
      <c r="J394">
        <v>14193</v>
      </c>
      <c r="K394" t="s">
        <v>20</v>
      </c>
      <c r="L394">
        <v>61029.9</v>
      </c>
      <c r="M394">
        <v>9374.875</v>
      </c>
      <c r="N394" t="s">
        <v>620</v>
      </c>
    </row>
    <row r="395" spans="1:14" x14ac:dyDescent="0.3">
      <c r="A395" t="s">
        <v>38</v>
      </c>
      <c r="B395" t="s">
        <v>621</v>
      </c>
      <c r="C395">
        <v>8</v>
      </c>
      <c r="D395">
        <v>256</v>
      </c>
      <c r="E395">
        <v>5000</v>
      </c>
      <c r="F395">
        <v>21999</v>
      </c>
      <c r="G395">
        <v>25999</v>
      </c>
      <c r="H395">
        <v>15</v>
      </c>
      <c r="I395">
        <v>4.3</v>
      </c>
      <c r="J395">
        <v>1808</v>
      </c>
      <c r="K395" t="s">
        <v>16</v>
      </c>
      <c r="L395">
        <v>7774.4</v>
      </c>
      <c r="M395">
        <v>2749.875</v>
      </c>
      <c r="N395" t="s">
        <v>622</v>
      </c>
    </row>
    <row r="396" spans="1:14" x14ac:dyDescent="0.3">
      <c r="A396" t="s">
        <v>38</v>
      </c>
      <c r="B396" t="s">
        <v>50</v>
      </c>
      <c r="C396">
        <v>8</v>
      </c>
      <c r="D396">
        <v>256</v>
      </c>
      <c r="E396">
        <v>6000</v>
      </c>
      <c r="F396">
        <v>25490</v>
      </c>
      <c r="G396">
        <v>25999</v>
      </c>
      <c r="H396">
        <v>1</v>
      </c>
      <c r="I396">
        <v>4.5</v>
      </c>
      <c r="J396">
        <v>51</v>
      </c>
      <c r="K396" t="s">
        <v>16</v>
      </c>
      <c r="L396">
        <v>229.5</v>
      </c>
      <c r="M396">
        <v>3186.25</v>
      </c>
      <c r="N396" t="s">
        <v>554</v>
      </c>
    </row>
    <row r="397" spans="1:14" x14ac:dyDescent="0.3">
      <c r="A397" t="s">
        <v>44</v>
      </c>
      <c r="B397" t="s">
        <v>568</v>
      </c>
      <c r="C397">
        <v>8</v>
      </c>
      <c r="D397">
        <v>128</v>
      </c>
      <c r="E397">
        <v>6000</v>
      </c>
      <c r="F397">
        <v>16999</v>
      </c>
      <c r="G397">
        <v>20999</v>
      </c>
      <c r="H397">
        <v>19</v>
      </c>
      <c r="I397">
        <v>4.3</v>
      </c>
      <c r="J397">
        <v>2</v>
      </c>
      <c r="K397" t="s">
        <v>16</v>
      </c>
      <c r="L397">
        <v>8.6</v>
      </c>
      <c r="M397">
        <v>2124.875</v>
      </c>
      <c r="N397" t="s">
        <v>623</v>
      </c>
    </row>
    <row r="398" spans="1:14" x14ac:dyDescent="0.3">
      <c r="A398" t="s">
        <v>14</v>
      </c>
      <c r="B398" t="s">
        <v>267</v>
      </c>
      <c r="C398">
        <v>12</v>
      </c>
      <c r="D398">
        <v>512</v>
      </c>
      <c r="E398">
        <v>5000</v>
      </c>
      <c r="F398">
        <v>159999</v>
      </c>
      <c r="G398" t="s">
        <v>26</v>
      </c>
      <c r="H398" t="s">
        <v>27</v>
      </c>
      <c r="I398">
        <v>4.5999999999999996</v>
      </c>
      <c r="J398">
        <v>12</v>
      </c>
      <c r="K398" t="s">
        <v>20</v>
      </c>
      <c r="L398">
        <v>55.2</v>
      </c>
      <c r="M398">
        <v>13333.25</v>
      </c>
      <c r="N398" t="s">
        <v>624</v>
      </c>
    </row>
    <row r="399" spans="1:14" x14ac:dyDescent="0.3">
      <c r="A399" t="s">
        <v>29</v>
      </c>
      <c r="B399" t="s">
        <v>129</v>
      </c>
      <c r="C399">
        <v>8</v>
      </c>
      <c r="D399">
        <v>128</v>
      </c>
      <c r="E399">
        <v>6000</v>
      </c>
      <c r="F399">
        <v>16399</v>
      </c>
      <c r="G399">
        <v>16999</v>
      </c>
      <c r="H399">
        <v>3</v>
      </c>
      <c r="I399">
        <v>4.4000000000000004</v>
      </c>
      <c r="J399">
        <v>6</v>
      </c>
      <c r="K399" t="s">
        <v>16</v>
      </c>
      <c r="L399">
        <v>26.4</v>
      </c>
      <c r="M399">
        <v>2049.875</v>
      </c>
      <c r="N399" t="s">
        <v>533</v>
      </c>
    </row>
    <row r="400" spans="1:14" x14ac:dyDescent="0.3">
      <c r="A400" t="s">
        <v>29</v>
      </c>
      <c r="B400" t="s">
        <v>625</v>
      </c>
      <c r="C400">
        <v>1</v>
      </c>
      <c r="D400">
        <v>8</v>
      </c>
      <c r="E400">
        <v>3000</v>
      </c>
      <c r="F400">
        <v>4499</v>
      </c>
      <c r="G400">
        <v>5999</v>
      </c>
      <c r="H400">
        <v>25</v>
      </c>
      <c r="I400">
        <v>3.2</v>
      </c>
      <c r="J400">
        <v>9</v>
      </c>
      <c r="K400" t="s">
        <v>34</v>
      </c>
      <c r="L400">
        <v>28.8</v>
      </c>
      <c r="M400">
        <v>4499</v>
      </c>
      <c r="N400" t="s">
        <v>626</v>
      </c>
    </row>
    <row r="401" spans="1:14" x14ac:dyDescent="0.3">
      <c r="A401" t="s">
        <v>22</v>
      </c>
      <c r="B401" t="s">
        <v>627</v>
      </c>
      <c r="C401" t="s">
        <v>24</v>
      </c>
      <c r="D401">
        <v>512</v>
      </c>
      <c r="E401" t="s">
        <v>25</v>
      </c>
      <c r="F401">
        <v>79900</v>
      </c>
      <c r="G401" t="s">
        <v>26</v>
      </c>
      <c r="H401" t="s">
        <v>27</v>
      </c>
      <c r="I401">
        <v>4.5999999999999996</v>
      </c>
      <c r="J401">
        <v>13998</v>
      </c>
      <c r="K401" t="s">
        <v>20</v>
      </c>
      <c r="L401">
        <v>64390.8</v>
      </c>
      <c r="M401">
        <v>0</v>
      </c>
      <c r="N401" t="s">
        <v>628</v>
      </c>
    </row>
    <row r="402" spans="1:14" x14ac:dyDescent="0.3">
      <c r="A402" t="s">
        <v>22</v>
      </c>
      <c r="B402" t="s">
        <v>205</v>
      </c>
      <c r="C402" t="s">
        <v>24</v>
      </c>
      <c r="D402">
        <v>512</v>
      </c>
      <c r="E402" t="s">
        <v>25</v>
      </c>
      <c r="F402">
        <v>99900</v>
      </c>
      <c r="G402" t="s">
        <v>26</v>
      </c>
      <c r="H402" t="s">
        <v>27</v>
      </c>
      <c r="I402">
        <v>4.5999999999999996</v>
      </c>
      <c r="J402">
        <v>4756</v>
      </c>
      <c r="K402" t="s">
        <v>20</v>
      </c>
      <c r="L402">
        <v>21877.599999999999</v>
      </c>
      <c r="M402">
        <v>0</v>
      </c>
      <c r="N402" t="s">
        <v>629</v>
      </c>
    </row>
    <row r="403" spans="1:14" x14ac:dyDescent="0.3">
      <c r="A403" t="s">
        <v>29</v>
      </c>
      <c r="B403" t="s">
        <v>630</v>
      </c>
      <c r="C403">
        <v>2</v>
      </c>
      <c r="D403">
        <v>32</v>
      </c>
      <c r="E403">
        <v>5000</v>
      </c>
      <c r="F403">
        <v>6189</v>
      </c>
      <c r="G403">
        <v>8999</v>
      </c>
      <c r="H403">
        <v>31</v>
      </c>
      <c r="I403">
        <v>4.2</v>
      </c>
      <c r="J403">
        <v>454</v>
      </c>
      <c r="K403" t="s">
        <v>34</v>
      </c>
      <c r="L403">
        <v>1906.8</v>
      </c>
      <c r="M403">
        <v>3094.5</v>
      </c>
      <c r="N403" t="s">
        <v>631</v>
      </c>
    </row>
    <row r="404" spans="1:14" x14ac:dyDescent="0.3">
      <c r="A404" t="s">
        <v>14</v>
      </c>
      <c r="B404" t="s">
        <v>632</v>
      </c>
      <c r="C404">
        <v>4</v>
      </c>
      <c r="D404">
        <v>64</v>
      </c>
      <c r="E404">
        <v>6000</v>
      </c>
      <c r="F404">
        <v>14999</v>
      </c>
      <c r="G404" t="s">
        <v>26</v>
      </c>
      <c r="H404" t="s">
        <v>27</v>
      </c>
      <c r="I404">
        <v>4.2</v>
      </c>
      <c r="J404">
        <v>8</v>
      </c>
      <c r="K404" t="s">
        <v>34</v>
      </c>
      <c r="L404">
        <v>33.6</v>
      </c>
      <c r="M404">
        <v>3749.75</v>
      </c>
      <c r="N404" t="s">
        <v>633</v>
      </c>
    </row>
    <row r="405" spans="1:14" x14ac:dyDescent="0.3">
      <c r="A405" t="s">
        <v>14</v>
      </c>
      <c r="B405" t="s">
        <v>634</v>
      </c>
      <c r="C405">
        <v>1</v>
      </c>
      <c r="D405">
        <v>8</v>
      </c>
      <c r="E405">
        <v>1500</v>
      </c>
      <c r="F405">
        <v>4790</v>
      </c>
      <c r="G405" t="s">
        <v>26</v>
      </c>
      <c r="H405" t="s">
        <v>27</v>
      </c>
      <c r="I405">
        <v>3.6</v>
      </c>
      <c r="J405">
        <v>1905</v>
      </c>
      <c r="K405" t="s">
        <v>34</v>
      </c>
      <c r="L405">
        <v>6858</v>
      </c>
      <c r="M405">
        <v>4790</v>
      </c>
      <c r="N405" t="s">
        <v>635</v>
      </c>
    </row>
    <row r="406" spans="1:14" x14ac:dyDescent="0.3">
      <c r="A406" t="s">
        <v>38</v>
      </c>
      <c r="B406" t="s">
        <v>636</v>
      </c>
      <c r="C406">
        <v>4</v>
      </c>
      <c r="D406">
        <v>128</v>
      </c>
      <c r="E406">
        <v>6000</v>
      </c>
      <c r="F406">
        <v>12999</v>
      </c>
      <c r="G406" t="s">
        <v>26</v>
      </c>
      <c r="H406" t="s">
        <v>27</v>
      </c>
      <c r="I406">
        <v>4.3</v>
      </c>
      <c r="J406">
        <v>483</v>
      </c>
      <c r="K406" t="s">
        <v>34</v>
      </c>
      <c r="L406">
        <v>2076.9</v>
      </c>
      <c r="M406">
        <v>3249.75</v>
      </c>
      <c r="N406" t="s">
        <v>637</v>
      </c>
    </row>
    <row r="407" spans="1:14" x14ac:dyDescent="0.3">
      <c r="A407" t="s">
        <v>18</v>
      </c>
      <c r="B407" t="s">
        <v>598</v>
      </c>
      <c r="C407">
        <v>8</v>
      </c>
      <c r="D407">
        <v>256</v>
      </c>
      <c r="E407">
        <v>6000</v>
      </c>
      <c r="F407">
        <v>16999</v>
      </c>
      <c r="G407" t="s">
        <v>26</v>
      </c>
      <c r="H407" t="s">
        <v>27</v>
      </c>
      <c r="I407">
        <v>4.4000000000000004</v>
      </c>
      <c r="J407">
        <v>1047</v>
      </c>
      <c r="K407" t="s">
        <v>16</v>
      </c>
      <c r="L407">
        <v>4606.8</v>
      </c>
      <c r="M407">
        <v>2124.875</v>
      </c>
      <c r="N407" t="s">
        <v>638</v>
      </c>
    </row>
    <row r="408" spans="1:14" x14ac:dyDescent="0.3">
      <c r="A408" t="s">
        <v>29</v>
      </c>
      <c r="B408" t="s">
        <v>383</v>
      </c>
      <c r="C408">
        <v>6</v>
      </c>
      <c r="D408">
        <v>128</v>
      </c>
      <c r="E408">
        <v>5160</v>
      </c>
      <c r="F408">
        <v>9649</v>
      </c>
      <c r="G408">
        <v>12999</v>
      </c>
      <c r="H408">
        <v>25</v>
      </c>
      <c r="I408">
        <v>4.2</v>
      </c>
      <c r="J408">
        <v>90</v>
      </c>
      <c r="K408" t="s">
        <v>34</v>
      </c>
      <c r="L408">
        <v>378</v>
      </c>
      <c r="M408">
        <v>1608.1666666666599</v>
      </c>
      <c r="N408" t="s">
        <v>384</v>
      </c>
    </row>
    <row r="409" spans="1:14" x14ac:dyDescent="0.3">
      <c r="A409" t="s">
        <v>29</v>
      </c>
      <c r="B409" t="s">
        <v>30</v>
      </c>
      <c r="C409">
        <v>8</v>
      </c>
      <c r="D409">
        <v>128</v>
      </c>
      <c r="E409">
        <v>5500</v>
      </c>
      <c r="F409">
        <v>21123</v>
      </c>
      <c r="G409">
        <v>28999</v>
      </c>
      <c r="H409">
        <v>27</v>
      </c>
      <c r="I409">
        <v>4.3</v>
      </c>
      <c r="J409">
        <v>32</v>
      </c>
      <c r="K409" t="s">
        <v>16</v>
      </c>
      <c r="L409">
        <v>137.6</v>
      </c>
      <c r="M409">
        <v>2640.375</v>
      </c>
      <c r="N409" t="s">
        <v>639</v>
      </c>
    </row>
    <row r="410" spans="1:14" x14ac:dyDescent="0.3">
      <c r="A410" t="s">
        <v>29</v>
      </c>
      <c r="B410" t="s">
        <v>467</v>
      </c>
      <c r="C410">
        <v>8</v>
      </c>
      <c r="D410">
        <v>256</v>
      </c>
      <c r="E410">
        <v>6200</v>
      </c>
      <c r="F410">
        <v>27710</v>
      </c>
      <c r="G410">
        <v>36999</v>
      </c>
      <c r="H410">
        <v>25</v>
      </c>
      <c r="I410">
        <v>4.4000000000000004</v>
      </c>
      <c r="J410">
        <v>260</v>
      </c>
      <c r="K410" t="s">
        <v>16</v>
      </c>
      <c r="L410">
        <v>1144</v>
      </c>
      <c r="M410">
        <v>3463.75</v>
      </c>
      <c r="N410" t="s">
        <v>640</v>
      </c>
    </row>
    <row r="411" spans="1:14" x14ac:dyDescent="0.3">
      <c r="A411" t="s">
        <v>14</v>
      </c>
      <c r="B411" t="s">
        <v>433</v>
      </c>
      <c r="C411">
        <v>8</v>
      </c>
      <c r="D411">
        <v>128</v>
      </c>
      <c r="E411">
        <v>5000</v>
      </c>
      <c r="F411">
        <v>15111</v>
      </c>
      <c r="G411">
        <v>19499</v>
      </c>
      <c r="H411">
        <v>22</v>
      </c>
      <c r="I411">
        <v>4.4000000000000004</v>
      </c>
      <c r="J411">
        <v>5</v>
      </c>
      <c r="K411" t="s">
        <v>16</v>
      </c>
      <c r="L411">
        <v>22</v>
      </c>
      <c r="M411">
        <v>1888.875</v>
      </c>
      <c r="N411" t="s">
        <v>434</v>
      </c>
    </row>
    <row r="412" spans="1:14" x14ac:dyDescent="0.3">
      <c r="A412" t="s">
        <v>38</v>
      </c>
      <c r="B412" t="s">
        <v>171</v>
      </c>
      <c r="C412">
        <v>8</v>
      </c>
      <c r="D412">
        <v>128</v>
      </c>
      <c r="E412">
        <v>7000</v>
      </c>
      <c r="F412">
        <v>43999</v>
      </c>
      <c r="G412" t="s">
        <v>26</v>
      </c>
      <c r="H412" t="s">
        <v>27</v>
      </c>
      <c r="I412">
        <v>4.5</v>
      </c>
      <c r="J412">
        <v>116</v>
      </c>
      <c r="K412" t="s">
        <v>20</v>
      </c>
      <c r="L412">
        <v>522</v>
      </c>
      <c r="M412">
        <v>5499.875</v>
      </c>
      <c r="N412" t="s">
        <v>641</v>
      </c>
    </row>
    <row r="413" spans="1:14" x14ac:dyDescent="0.3">
      <c r="A413" t="s">
        <v>38</v>
      </c>
      <c r="B413" t="s">
        <v>517</v>
      </c>
      <c r="C413">
        <v>4</v>
      </c>
      <c r="D413">
        <v>64</v>
      </c>
      <c r="E413">
        <v>6300</v>
      </c>
      <c r="F413">
        <v>8989</v>
      </c>
      <c r="G413">
        <v>8999</v>
      </c>
      <c r="H413" t="s">
        <v>27</v>
      </c>
      <c r="I413">
        <v>4.3</v>
      </c>
      <c r="J413">
        <v>50</v>
      </c>
      <c r="K413" t="s">
        <v>34</v>
      </c>
      <c r="L413">
        <v>215</v>
      </c>
      <c r="M413">
        <v>2247.25</v>
      </c>
      <c r="N413" t="s">
        <v>642</v>
      </c>
    </row>
    <row r="414" spans="1:14" x14ac:dyDescent="0.3">
      <c r="A414" t="s">
        <v>14</v>
      </c>
      <c r="B414" t="s">
        <v>643</v>
      </c>
      <c r="C414">
        <v>4</v>
      </c>
      <c r="D414">
        <v>64</v>
      </c>
      <c r="E414">
        <v>5000</v>
      </c>
      <c r="F414">
        <v>7799</v>
      </c>
      <c r="G414">
        <v>9999</v>
      </c>
      <c r="H414">
        <v>22</v>
      </c>
      <c r="I414">
        <v>4.3</v>
      </c>
      <c r="J414">
        <v>263</v>
      </c>
      <c r="K414" t="s">
        <v>34</v>
      </c>
      <c r="L414">
        <v>1130.9000000000001</v>
      </c>
      <c r="M414">
        <v>1949.75</v>
      </c>
      <c r="N414" t="s">
        <v>644</v>
      </c>
    </row>
    <row r="415" spans="1:14" x14ac:dyDescent="0.3">
      <c r="A415" t="s">
        <v>22</v>
      </c>
      <c r="B415" t="s">
        <v>410</v>
      </c>
      <c r="C415" t="s">
        <v>24</v>
      </c>
      <c r="D415">
        <v>128</v>
      </c>
      <c r="E415" t="s">
        <v>25</v>
      </c>
      <c r="F415">
        <v>54900</v>
      </c>
      <c r="G415">
        <v>59900</v>
      </c>
      <c r="H415">
        <v>8</v>
      </c>
      <c r="I415">
        <v>4.5999999999999996</v>
      </c>
      <c r="J415">
        <v>9546</v>
      </c>
      <c r="K415" t="s">
        <v>20</v>
      </c>
      <c r="L415">
        <v>43911.6</v>
      </c>
      <c r="M415">
        <v>0</v>
      </c>
      <c r="N415" t="s">
        <v>645</v>
      </c>
    </row>
    <row r="416" spans="1:14" x14ac:dyDescent="0.3">
      <c r="A416" t="s">
        <v>38</v>
      </c>
      <c r="B416" t="s">
        <v>646</v>
      </c>
      <c r="C416">
        <v>4</v>
      </c>
      <c r="D416">
        <v>64</v>
      </c>
      <c r="E416">
        <v>6300</v>
      </c>
      <c r="F416">
        <v>8956</v>
      </c>
      <c r="G416">
        <v>8999</v>
      </c>
      <c r="H416" t="s">
        <v>27</v>
      </c>
      <c r="I416">
        <v>4.3</v>
      </c>
      <c r="J416">
        <v>99</v>
      </c>
      <c r="K416" t="s">
        <v>34</v>
      </c>
      <c r="L416">
        <v>425.7</v>
      </c>
      <c r="M416">
        <v>2239</v>
      </c>
      <c r="N416" t="s">
        <v>647</v>
      </c>
    </row>
    <row r="417" spans="1:14" x14ac:dyDescent="0.3">
      <c r="A417" t="s">
        <v>18</v>
      </c>
      <c r="B417" t="s">
        <v>648</v>
      </c>
      <c r="C417">
        <v>4</v>
      </c>
      <c r="D417">
        <v>64</v>
      </c>
      <c r="E417">
        <v>5500</v>
      </c>
      <c r="F417">
        <v>9999</v>
      </c>
      <c r="G417">
        <v>11999</v>
      </c>
      <c r="H417">
        <v>16</v>
      </c>
      <c r="I417">
        <v>4.3</v>
      </c>
      <c r="J417">
        <v>116</v>
      </c>
      <c r="K417" t="s">
        <v>34</v>
      </c>
      <c r="L417">
        <v>498.8</v>
      </c>
      <c r="M417">
        <v>2499.75</v>
      </c>
      <c r="N417" t="s">
        <v>649</v>
      </c>
    </row>
    <row r="418" spans="1:14" x14ac:dyDescent="0.3">
      <c r="A418" t="s">
        <v>44</v>
      </c>
      <c r="B418" t="s">
        <v>577</v>
      </c>
      <c r="C418">
        <v>4</v>
      </c>
      <c r="D418">
        <v>128</v>
      </c>
      <c r="E418">
        <v>6500</v>
      </c>
      <c r="F418">
        <v>14999</v>
      </c>
      <c r="G418">
        <v>17999</v>
      </c>
      <c r="H418">
        <v>16</v>
      </c>
      <c r="I418">
        <v>4.5999999999999996</v>
      </c>
      <c r="J418">
        <v>442</v>
      </c>
      <c r="K418" t="s">
        <v>34</v>
      </c>
      <c r="L418">
        <v>2033.2</v>
      </c>
      <c r="M418">
        <v>3749.75</v>
      </c>
      <c r="N418" t="s">
        <v>650</v>
      </c>
    </row>
    <row r="419" spans="1:14" x14ac:dyDescent="0.3">
      <c r="A419" t="s">
        <v>38</v>
      </c>
      <c r="B419" t="s">
        <v>223</v>
      </c>
      <c r="C419">
        <v>4</v>
      </c>
      <c r="D419">
        <v>64</v>
      </c>
      <c r="E419">
        <v>6300</v>
      </c>
      <c r="F419">
        <v>9999</v>
      </c>
      <c r="G419">
        <v>12999</v>
      </c>
      <c r="H419">
        <v>23</v>
      </c>
      <c r="I419">
        <v>4.4000000000000004</v>
      </c>
      <c r="J419">
        <v>7</v>
      </c>
      <c r="K419" t="s">
        <v>34</v>
      </c>
      <c r="L419">
        <v>30.8</v>
      </c>
      <c r="M419">
        <v>2499.75</v>
      </c>
      <c r="N419" t="s">
        <v>651</v>
      </c>
    </row>
    <row r="420" spans="1:14" x14ac:dyDescent="0.3">
      <c r="A420" t="s">
        <v>18</v>
      </c>
      <c r="B420" t="s">
        <v>652</v>
      </c>
      <c r="C420">
        <v>16</v>
      </c>
      <c r="D420">
        <v>512</v>
      </c>
      <c r="E420">
        <v>6000</v>
      </c>
      <c r="F420">
        <v>149999</v>
      </c>
      <c r="G420">
        <v>159999</v>
      </c>
      <c r="H420">
        <v>6</v>
      </c>
      <c r="I420">
        <v>4.7</v>
      </c>
      <c r="J420">
        <v>5</v>
      </c>
      <c r="K420" t="s">
        <v>20</v>
      </c>
      <c r="L420">
        <v>23.5</v>
      </c>
      <c r="M420">
        <v>9374.9375</v>
      </c>
      <c r="N420" t="s">
        <v>653</v>
      </c>
    </row>
    <row r="421" spans="1:14" x14ac:dyDescent="0.3">
      <c r="A421" t="s">
        <v>44</v>
      </c>
      <c r="B421" t="s">
        <v>615</v>
      </c>
      <c r="C421">
        <v>4</v>
      </c>
      <c r="D421">
        <v>64</v>
      </c>
      <c r="E421">
        <v>5100</v>
      </c>
      <c r="F421">
        <v>12999</v>
      </c>
      <c r="G421" t="s">
        <v>26</v>
      </c>
      <c r="H421" t="s">
        <v>27</v>
      </c>
      <c r="I421">
        <v>4.0999999999999996</v>
      </c>
      <c r="J421">
        <v>96</v>
      </c>
      <c r="K421" t="s">
        <v>34</v>
      </c>
      <c r="L421">
        <v>393.6</v>
      </c>
      <c r="M421">
        <v>3249.75</v>
      </c>
      <c r="N421" t="s">
        <v>654</v>
      </c>
    </row>
    <row r="422" spans="1:14" x14ac:dyDescent="0.3">
      <c r="A422" t="s">
        <v>14</v>
      </c>
      <c r="B422" t="s">
        <v>505</v>
      </c>
      <c r="C422">
        <v>8</v>
      </c>
      <c r="D422">
        <v>256</v>
      </c>
      <c r="E422">
        <v>3300</v>
      </c>
      <c r="F422">
        <v>99999</v>
      </c>
      <c r="G422" t="s">
        <v>26</v>
      </c>
      <c r="H422" t="s">
        <v>27</v>
      </c>
      <c r="I422">
        <v>4.2</v>
      </c>
      <c r="J422">
        <v>603</v>
      </c>
      <c r="K422" t="s">
        <v>20</v>
      </c>
      <c r="L422">
        <v>2532.6</v>
      </c>
      <c r="M422">
        <v>12499.875</v>
      </c>
      <c r="N422" t="s">
        <v>655</v>
      </c>
    </row>
    <row r="423" spans="1:14" x14ac:dyDescent="0.3">
      <c r="A423" t="s">
        <v>29</v>
      </c>
      <c r="B423" t="s">
        <v>150</v>
      </c>
      <c r="C423">
        <v>6</v>
      </c>
      <c r="D423">
        <v>128</v>
      </c>
      <c r="E423">
        <v>5000</v>
      </c>
      <c r="F423">
        <v>9999</v>
      </c>
      <c r="G423">
        <v>13999</v>
      </c>
      <c r="H423">
        <v>28</v>
      </c>
      <c r="I423">
        <v>4.3</v>
      </c>
      <c r="J423">
        <v>1032</v>
      </c>
      <c r="K423" t="s">
        <v>34</v>
      </c>
      <c r="L423">
        <v>4437.5999999999904</v>
      </c>
      <c r="M423">
        <v>1666.5</v>
      </c>
      <c r="N423" t="s">
        <v>656</v>
      </c>
    </row>
    <row r="424" spans="1:14" x14ac:dyDescent="0.3">
      <c r="A424" t="s">
        <v>29</v>
      </c>
      <c r="B424" t="s">
        <v>365</v>
      </c>
      <c r="C424">
        <v>4</v>
      </c>
      <c r="D424">
        <v>128</v>
      </c>
      <c r="E424">
        <v>5000</v>
      </c>
      <c r="F424">
        <v>11101</v>
      </c>
      <c r="G424">
        <v>15999</v>
      </c>
      <c r="H424">
        <v>30</v>
      </c>
      <c r="I424">
        <v>4.3</v>
      </c>
      <c r="J424">
        <v>592</v>
      </c>
      <c r="K424" t="s">
        <v>34</v>
      </c>
      <c r="L424">
        <v>2545.6</v>
      </c>
      <c r="M424">
        <v>2775.25</v>
      </c>
      <c r="N424" t="s">
        <v>657</v>
      </c>
    </row>
    <row r="425" spans="1:14" x14ac:dyDescent="0.3">
      <c r="A425" t="s">
        <v>22</v>
      </c>
      <c r="B425" t="s">
        <v>262</v>
      </c>
      <c r="C425" t="s">
        <v>24</v>
      </c>
      <c r="D425">
        <v>1000</v>
      </c>
      <c r="E425" t="s">
        <v>25</v>
      </c>
      <c r="F425">
        <v>189900</v>
      </c>
      <c r="G425" t="s">
        <v>26</v>
      </c>
      <c r="H425" t="s">
        <v>27</v>
      </c>
      <c r="I425">
        <v>4.8</v>
      </c>
      <c r="J425">
        <v>39</v>
      </c>
      <c r="K425" t="s">
        <v>20</v>
      </c>
      <c r="L425">
        <v>187.2</v>
      </c>
      <c r="M425">
        <v>0</v>
      </c>
      <c r="N425" t="s">
        <v>658</v>
      </c>
    </row>
    <row r="426" spans="1:14" x14ac:dyDescent="0.3">
      <c r="A426" t="s">
        <v>38</v>
      </c>
      <c r="B426" t="s">
        <v>659</v>
      </c>
      <c r="C426">
        <v>4</v>
      </c>
      <c r="D426">
        <v>64</v>
      </c>
      <c r="E426">
        <v>5000</v>
      </c>
      <c r="F426">
        <v>13499</v>
      </c>
      <c r="G426" t="s">
        <v>26</v>
      </c>
      <c r="H426" t="s">
        <v>27</v>
      </c>
      <c r="I426">
        <v>4.0999999999999996</v>
      </c>
      <c r="J426">
        <v>81</v>
      </c>
      <c r="K426" t="s">
        <v>34</v>
      </c>
      <c r="L426">
        <v>332.1</v>
      </c>
      <c r="M426">
        <v>3374.75</v>
      </c>
      <c r="N426" t="s">
        <v>660</v>
      </c>
    </row>
    <row r="427" spans="1:14" x14ac:dyDescent="0.3">
      <c r="A427" t="s">
        <v>14</v>
      </c>
      <c r="B427" t="s">
        <v>661</v>
      </c>
      <c r="C427">
        <v>8</v>
      </c>
      <c r="D427">
        <v>256</v>
      </c>
      <c r="E427">
        <v>4000</v>
      </c>
      <c r="F427">
        <v>95999</v>
      </c>
      <c r="G427" t="s">
        <v>26</v>
      </c>
      <c r="H427" t="s">
        <v>27</v>
      </c>
      <c r="I427">
        <v>4.3</v>
      </c>
      <c r="J427">
        <v>2</v>
      </c>
      <c r="K427" t="s">
        <v>20</v>
      </c>
      <c r="L427">
        <v>8.6</v>
      </c>
      <c r="M427">
        <v>11999.875</v>
      </c>
      <c r="N427" t="s">
        <v>662</v>
      </c>
    </row>
    <row r="428" spans="1:14" x14ac:dyDescent="0.3">
      <c r="A428" t="s">
        <v>29</v>
      </c>
      <c r="B428" t="s">
        <v>663</v>
      </c>
      <c r="C428">
        <v>8</v>
      </c>
      <c r="D428">
        <v>128</v>
      </c>
      <c r="E428">
        <v>5110</v>
      </c>
      <c r="F428">
        <v>19999</v>
      </c>
      <c r="G428">
        <v>22999</v>
      </c>
      <c r="H428">
        <v>13</v>
      </c>
      <c r="I428">
        <v>4.2</v>
      </c>
      <c r="J428">
        <v>253</v>
      </c>
      <c r="K428" t="s">
        <v>16</v>
      </c>
      <c r="L428">
        <v>1062.5999999999999</v>
      </c>
      <c r="M428">
        <v>2499.875</v>
      </c>
      <c r="N428" t="s">
        <v>664</v>
      </c>
    </row>
    <row r="429" spans="1:14" x14ac:dyDescent="0.3">
      <c r="A429" t="s">
        <v>29</v>
      </c>
      <c r="B429" t="s">
        <v>467</v>
      </c>
      <c r="C429">
        <v>8</v>
      </c>
      <c r="D429">
        <v>128</v>
      </c>
      <c r="E429">
        <v>6200</v>
      </c>
      <c r="F429">
        <v>26490</v>
      </c>
      <c r="G429">
        <v>34999</v>
      </c>
      <c r="H429">
        <v>24</v>
      </c>
      <c r="I429">
        <v>4.4000000000000004</v>
      </c>
      <c r="J429">
        <v>260</v>
      </c>
      <c r="K429" t="s">
        <v>16</v>
      </c>
      <c r="L429">
        <v>1144</v>
      </c>
      <c r="M429">
        <v>3311.25</v>
      </c>
      <c r="N429" t="s">
        <v>665</v>
      </c>
    </row>
    <row r="430" spans="1:14" x14ac:dyDescent="0.3">
      <c r="A430" t="s">
        <v>44</v>
      </c>
      <c r="B430" t="s">
        <v>549</v>
      </c>
      <c r="C430">
        <v>8</v>
      </c>
      <c r="D430">
        <v>256</v>
      </c>
      <c r="E430">
        <v>5000</v>
      </c>
      <c r="F430">
        <v>28999</v>
      </c>
      <c r="G430" t="s">
        <v>26</v>
      </c>
      <c r="H430" t="s">
        <v>27</v>
      </c>
      <c r="I430">
        <v>4.3</v>
      </c>
      <c r="J430">
        <v>101</v>
      </c>
      <c r="K430" t="s">
        <v>16</v>
      </c>
      <c r="L430">
        <v>434.3</v>
      </c>
      <c r="M430">
        <v>3624.875</v>
      </c>
      <c r="N430" t="s">
        <v>666</v>
      </c>
    </row>
    <row r="431" spans="1:14" x14ac:dyDescent="0.3">
      <c r="A431" t="s">
        <v>44</v>
      </c>
      <c r="B431" t="s">
        <v>156</v>
      </c>
      <c r="C431">
        <v>6</v>
      </c>
      <c r="D431">
        <v>128</v>
      </c>
      <c r="E431">
        <v>5000</v>
      </c>
      <c r="F431">
        <v>19999</v>
      </c>
      <c r="G431" t="s">
        <v>26</v>
      </c>
      <c r="H431" t="s">
        <v>27</v>
      </c>
      <c r="I431">
        <v>4.3</v>
      </c>
      <c r="J431">
        <v>132</v>
      </c>
      <c r="K431" t="s">
        <v>16</v>
      </c>
      <c r="L431">
        <v>567.6</v>
      </c>
      <c r="M431">
        <v>3333.1666666666601</v>
      </c>
      <c r="N431" t="s">
        <v>157</v>
      </c>
    </row>
    <row r="432" spans="1:14" x14ac:dyDescent="0.3">
      <c r="A432" t="s">
        <v>18</v>
      </c>
      <c r="B432" t="s">
        <v>598</v>
      </c>
      <c r="C432">
        <v>4</v>
      </c>
      <c r="D432">
        <v>128</v>
      </c>
      <c r="E432">
        <v>6000</v>
      </c>
      <c r="F432">
        <v>13999</v>
      </c>
      <c r="G432" t="s">
        <v>26</v>
      </c>
      <c r="H432" t="s">
        <v>27</v>
      </c>
      <c r="I432">
        <v>4.4000000000000004</v>
      </c>
      <c r="J432">
        <v>1388</v>
      </c>
      <c r="K432" t="s">
        <v>34</v>
      </c>
      <c r="L432">
        <v>6107.2</v>
      </c>
      <c r="M432">
        <v>3499.75</v>
      </c>
      <c r="N432" t="s">
        <v>667</v>
      </c>
    </row>
    <row r="433" spans="1:14" x14ac:dyDescent="0.3">
      <c r="A433" t="s">
        <v>38</v>
      </c>
      <c r="B433" t="s">
        <v>636</v>
      </c>
      <c r="C433">
        <v>6</v>
      </c>
      <c r="D433">
        <v>128</v>
      </c>
      <c r="E433">
        <v>6000</v>
      </c>
      <c r="F433">
        <v>13999</v>
      </c>
      <c r="G433" t="s">
        <v>26</v>
      </c>
      <c r="H433" t="s">
        <v>27</v>
      </c>
      <c r="I433">
        <v>4.4000000000000004</v>
      </c>
      <c r="J433">
        <v>583</v>
      </c>
      <c r="K433" t="s">
        <v>34</v>
      </c>
      <c r="L433">
        <v>2565.1999999999998</v>
      </c>
      <c r="M433">
        <v>2333.1666666666601</v>
      </c>
      <c r="N433" t="s">
        <v>668</v>
      </c>
    </row>
    <row r="434" spans="1:14" x14ac:dyDescent="0.3">
      <c r="A434" t="s">
        <v>14</v>
      </c>
      <c r="B434" t="s">
        <v>587</v>
      </c>
      <c r="C434">
        <v>6</v>
      </c>
      <c r="D434">
        <v>128</v>
      </c>
      <c r="E434">
        <v>5000</v>
      </c>
      <c r="F434">
        <v>11999</v>
      </c>
      <c r="G434">
        <v>15499</v>
      </c>
      <c r="H434">
        <v>22</v>
      </c>
      <c r="I434">
        <v>4.2</v>
      </c>
      <c r="J434">
        <v>1488</v>
      </c>
      <c r="K434" t="s">
        <v>34</v>
      </c>
      <c r="L434">
        <v>6249.6</v>
      </c>
      <c r="M434">
        <v>1999.8333333333301</v>
      </c>
      <c r="N434" t="s">
        <v>669</v>
      </c>
    </row>
    <row r="435" spans="1:14" x14ac:dyDescent="0.3">
      <c r="A435" t="s">
        <v>18</v>
      </c>
      <c r="B435" t="s">
        <v>670</v>
      </c>
      <c r="C435">
        <v>6</v>
      </c>
      <c r="D435">
        <v>128</v>
      </c>
      <c r="E435">
        <v>6500</v>
      </c>
      <c r="F435">
        <v>16999</v>
      </c>
      <c r="G435">
        <v>17999</v>
      </c>
      <c r="H435">
        <v>5</v>
      </c>
      <c r="I435">
        <v>4.5</v>
      </c>
      <c r="J435">
        <v>9395</v>
      </c>
      <c r="K435" t="s">
        <v>16</v>
      </c>
      <c r="L435">
        <v>42277.5</v>
      </c>
      <c r="M435">
        <v>2833.1666666666601</v>
      </c>
      <c r="N435" t="s">
        <v>671</v>
      </c>
    </row>
    <row r="436" spans="1:14" x14ac:dyDescent="0.3">
      <c r="A436" t="s">
        <v>14</v>
      </c>
      <c r="B436" t="s">
        <v>672</v>
      </c>
      <c r="C436">
        <v>4</v>
      </c>
      <c r="D436">
        <v>128</v>
      </c>
      <c r="E436">
        <v>5000</v>
      </c>
      <c r="F436">
        <v>10846</v>
      </c>
      <c r="G436">
        <v>13999</v>
      </c>
      <c r="H436">
        <v>22</v>
      </c>
      <c r="I436">
        <v>4.0999999999999996</v>
      </c>
      <c r="J436">
        <v>73</v>
      </c>
      <c r="K436" t="s">
        <v>34</v>
      </c>
      <c r="L436">
        <v>299.29999999999899</v>
      </c>
      <c r="M436">
        <v>2711.5</v>
      </c>
      <c r="N436" t="s">
        <v>673</v>
      </c>
    </row>
    <row r="437" spans="1:14" x14ac:dyDescent="0.3">
      <c r="A437" t="s">
        <v>14</v>
      </c>
      <c r="B437" t="s">
        <v>587</v>
      </c>
      <c r="C437">
        <v>4</v>
      </c>
      <c r="D437">
        <v>128</v>
      </c>
      <c r="E437">
        <v>5000</v>
      </c>
      <c r="F437">
        <v>10499</v>
      </c>
      <c r="G437">
        <v>13999</v>
      </c>
      <c r="H437">
        <v>25</v>
      </c>
      <c r="I437">
        <v>4.2</v>
      </c>
      <c r="J437">
        <v>2624</v>
      </c>
      <c r="K437" t="s">
        <v>34</v>
      </c>
      <c r="L437">
        <v>11020.8</v>
      </c>
      <c r="M437">
        <v>2624.75</v>
      </c>
      <c r="N437" t="s">
        <v>669</v>
      </c>
    </row>
    <row r="438" spans="1:14" x14ac:dyDescent="0.3">
      <c r="A438" t="s">
        <v>38</v>
      </c>
      <c r="B438" t="s">
        <v>674</v>
      </c>
      <c r="C438">
        <v>4</v>
      </c>
      <c r="D438">
        <v>128</v>
      </c>
      <c r="E438">
        <v>6000</v>
      </c>
      <c r="F438">
        <v>12288</v>
      </c>
      <c r="G438">
        <v>13999</v>
      </c>
      <c r="H438">
        <v>12</v>
      </c>
      <c r="I438">
        <v>4.3</v>
      </c>
      <c r="J438">
        <v>56</v>
      </c>
      <c r="K438" t="s">
        <v>34</v>
      </c>
      <c r="L438">
        <v>240.8</v>
      </c>
      <c r="M438">
        <v>3072</v>
      </c>
      <c r="N438" t="s">
        <v>675</v>
      </c>
    </row>
    <row r="439" spans="1:14" x14ac:dyDescent="0.3">
      <c r="A439" t="s">
        <v>14</v>
      </c>
      <c r="B439" t="s">
        <v>672</v>
      </c>
      <c r="C439">
        <v>6</v>
      </c>
      <c r="D439">
        <v>128</v>
      </c>
      <c r="E439">
        <v>5000</v>
      </c>
      <c r="F439">
        <v>11874</v>
      </c>
      <c r="G439">
        <v>15499</v>
      </c>
      <c r="H439">
        <v>23</v>
      </c>
      <c r="I439">
        <v>4.0999999999999996</v>
      </c>
      <c r="J439">
        <v>62</v>
      </c>
      <c r="K439" t="s">
        <v>34</v>
      </c>
      <c r="L439">
        <v>254.2</v>
      </c>
      <c r="M439">
        <v>1979</v>
      </c>
      <c r="N439" t="s">
        <v>676</v>
      </c>
    </row>
    <row r="440" spans="1:14" x14ac:dyDescent="0.3">
      <c r="A440" t="s">
        <v>14</v>
      </c>
      <c r="B440" t="s">
        <v>677</v>
      </c>
      <c r="C440">
        <v>4</v>
      </c>
      <c r="D440">
        <v>64</v>
      </c>
      <c r="E440">
        <v>5000</v>
      </c>
      <c r="F440">
        <v>6699</v>
      </c>
      <c r="G440">
        <v>9999</v>
      </c>
      <c r="H440">
        <v>33</v>
      </c>
      <c r="I440">
        <v>4.3</v>
      </c>
      <c r="J440">
        <v>168</v>
      </c>
      <c r="K440" t="s">
        <v>34</v>
      </c>
      <c r="L440">
        <v>722.4</v>
      </c>
      <c r="M440">
        <v>1674.75</v>
      </c>
      <c r="N440" t="s">
        <v>678</v>
      </c>
    </row>
    <row r="441" spans="1:14" x14ac:dyDescent="0.3">
      <c r="A441" t="s">
        <v>38</v>
      </c>
      <c r="B441" t="s">
        <v>646</v>
      </c>
      <c r="C441">
        <v>6</v>
      </c>
      <c r="D441">
        <v>128</v>
      </c>
      <c r="E441">
        <v>6300</v>
      </c>
      <c r="F441">
        <v>10969</v>
      </c>
      <c r="G441">
        <v>10999</v>
      </c>
      <c r="H441" t="s">
        <v>27</v>
      </c>
      <c r="I441">
        <v>4.3</v>
      </c>
      <c r="J441">
        <v>101</v>
      </c>
      <c r="K441" t="s">
        <v>34</v>
      </c>
      <c r="L441">
        <v>434.3</v>
      </c>
      <c r="M441">
        <v>1828.1666666666599</v>
      </c>
      <c r="N441" t="s">
        <v>679</v>
      </c>
    </row>
    <row r="442" spans="1:14" x14ac:dyDescent="0.3">
      <c r="A442" t="s">
        <v>44</v>
      </c>
      <c r="B442" t="s">
        <v>577</v>
      </c>
      <c r="C442">
        <v>6</v>
      </c>
      <c r="D442">
        <v>128</v>
      </c>
      <c r="E442">
        <v>6500</v>
      </c>
      <c r="F442">
        <v>16999</v>
      </c>
      <c r="G442">
        <v>19999</v>
      </c>
      <c r="H442">
        <v>15</v>
      </c>
      <c r="I442">
        <v>4.5999999999999996</v>
      </c>
      <c r="J442">
        <v>238</v>
      </c>
      <c r="K442" t="s">
        <v>16</v>
      </c>
      <c r="L442">
        <v>1094.8</v>
      </c>
      <c r="M442">
        <v>2833.1666666666601</v>
      </c>
      <c r="N442" t="s">
        <v>650</v>
      </c>
    </row>
    <row r="443" spans="1:14" x14ac:dyDescent="0.3">
      <c r="A443" t="s">
        <v>18</v>
      </c>
      <c r="B443" t="s">
        <v>446</v>
      </c>
      <c r="C443">
        <v>8</v>
      </c>
      <c r="D443">
        <v>128</v>
      </c>
      <c r="E443">
        <v>6000</v>
      </c>
      <c r="F443">
        <v>25999</v>
      </c>
      <c r="G443" t="s">
        <v>26</v>
      </c>
      <c r="H443" t="s">
        <v>27</v>
      </c>
      <c r="I443">
        <v>4.4000000000000004</v>
      </c>
      <c r="J443">
        <v>30</v>
      </c>
      <c r="K443" t="s">
        <v>16</v>
      </c>
      <c r="L443">
        <v>132</v>
      </c>
      <c r="M443">
        <v>3249.875</v>
      </c>
      <c r="N443" t="s">
        <v>680</v>
      </c>
    </row>
    <row r="444" spans="1:14" x14ac:dyDescent="0.3">
      <c r="A444" t="s">
        <v>14</v>
      </c>
      <c r="B444" t="s">
        <v>479</v>
      </c>
      <c r="C444">
        <v>6</v>
      </c>
      <c r="D444">
        <v>128</v>
      </c>
      <c r="E444">
        <v>5000</v>
      </c>
      <c r="F444">
        <v>18999</v>
      </c>
      <c r="G444">
        <v>19499</v>
      </c>
      <c r="H444">
        <v>2</v>
      </c>
      <c r="I444">
        <v>4.3</v>
      </c>
      <c r="J444">
        <v>6</v>
      </c>
      <c r="K444" t="s">
        <v>16</v>
      </c>
      <c r="L444">
        <v>25.8</v>
      </c>
      <c r="M444">
        <v>3166.5</v>
      </c>
      <c r="N444" t="s">
        <v>681</v>
      </c>
    </row>
    <row r="445" spans="1:14" x14ac:dyDescent="0.3">
      <c r="A445" t="s">
        <v>14</v>
      </c>
      <c r="B445" t="s">
        <v>307</v>
      </c>
      <c r="C445">
        <v>12</v>
      </c>
      <c r="D445">
        <v>256</v>
      </c>
      <c r="E445">
        <v>4300</v>
      </c>
      <c r="F445">
        <v>87999</v>
      </c>
      <c r="G445" t="s">
        <v>26</v>
      </c>
      <c r="H445" t="s">
        <v>27</v>
      </c>
      <c r="I445">
        <v>4.7</v>
      </c>
      <c r="J445">
        <v>2</v>
      </c>
      <c r="K445" t="s">
        <v>20</v>
      </c>
      <c r="L445">
        <v>9.4</v>
      </c>
      <c r="M445">
        <v>7333.25</v>
      </c>
      <c r="N445" t="s">
        <v>682</v>
      </c>
    </row>
    <row r="446" spans="1:14" x14ac:dyDescent="0.3">
      <c r="A446" t="s">
        <v>14</v>
      </c>
      <c r="B446" t="s">
        <v>547</v>
      </c>
      <c r="C446">
        <v>12</v>
      </c>
      <c r="D446">
        <v>512</v>
      </c>
      <c r="E446">
        <v>5000</v>
      </c>
      <c r="F446">
        <v>161999</v>
      </c>
      <c r="G446" t="s">
        <v>26</v>
      </c>
      <c r="H446" t="s">
        <v>27</v>
      </c>
      <c r="I446">
        <v>4.5999999999999996</v>
      </c>
      <c r="J446">
        <v>404</v>
      </c>
      <c r="K446" t="s">
        <v>20</v>
      </c>
      <c r="L446">
        <v>1858.4</v>
      </c>
      <c r="M446">
        <v>13499.916666666601</v>
      </c>
      <c r="N446" t="s">
        <v>683</v>
      </c>
    </row>
    <row r="447" spans="1:14" x14ac:dyDescent="0.3">
      <c r="A447" t="s">
        <v>14</v>
      </c>
      <c r="B447" t="s">
        <v>684</v>
      </c>
      <c r="C447">
        <v>8</v>
      </c>
      <c r="D447">
        <v>128</v>
      </c>
      <c r="E447">
        <v>6000</v>
      </c>
      <c r="F447">
        <v>25999</v>
      </c>
      <c r="G447" t="s">
        <v>26</v>
      </c>
      <c r="H447" t="s">
        <v>27</v>
      </c>
      <c r="I447">
        <v>4.2</v>
      </c>
      <c r="J447">
        <v>1205</v>
      </c>
      <c r="K447" t="s">
        <v>16</v>
      </c>
      <c r="L447">
        <v>5061</v>
      </c>
      <c r="M447">
        <v>3249.875</v>
      </c>
      <c r="N447" t="s">
        <v>685</v>
      </c>
    </row>
    <row r="448" spans="1:14" x14ac:dyDescent="0.3">
      <c r="A448" t="s">
        <v>38</v>
      </c>
      <c r="B448" t="s">
        <v>459</v>
      </c>
      <c r="C448">
        <v>4</v>
      </c>
      <c r="D448">
        <v>128</v>
      </c>
      <c r="E448">
        <v>6000</v>
      </c>
      <c r="F448">
        <v>13999</v>
      </c>
      <c r="G448" t="s">
        <v>26</v>
      </c>
      <c r="H448" t="s">
        <v>27</v>
      </c>
      <c r="I448">
        <v>4.2</v>
      </c>
      <c r="J448">
        <v>86</v>
      </c>
      <c r="K448" t="s">
        <v>34</v>
      </c>
      <c r="L448">
        <v>361.2</v>
      </c>
      <c r="M448">
        <v>3499.75</v>
      </c>
      <c r="N448" t="s">
        <v>686</v>
      </c>
    </row>
    <row r="449" spans="1:14" x14ac:dyDescent="0.3">
      <c r="A449" t="s">
        <v>14</v>
      </c>
      <c r="B449" t="s">
        <v>687</v>
      </c>
      <c r="C449">
        <v>12</v>
      </c>
      <c r="D449">
        <v>256</v>
      </c>
      <c r="E449">
        <v>3900</v>
      </c>
      <c r="F449">
        <v>89999</v>
      </c>
      <c r="G449">
        <v>109999</v>
      </c>
      <c r="H449">
        <v>18</v>
      </c>
      <c r="I449">
        <v>4.7</v>
      </c>
      <c r="J449">
        <v>5</v>
      </c>
      <c r="K449" t="s">
        <v>20</v>
      </c>
      <c r="L449">
        <v>23.5</v>
      </c>
      <c r="M449">
        <v>7499.9166666666597</v>
      </c>
      <c r="N449" t="s">
        <v>688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2A8B8-BD01-4CF6-BF7A-71505AFDFF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Smartphone Analysis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thafseeera salam</dc:creator>
  <cp:lastModifiedBy>thafseeera salam</cp:lastModifiedBy>
  <dcterms:created xsi:type="dcterms:W3CDTF">2026-04-04T11:11:17Z</dcterms:created>
  <dcterms:modified xsi:type="dcterms:W3CDTF">2026-04-28T11:00:08Z</dcterms:modified>
</cp:coreProperties>
</file>